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a8df5e598afa50/KF/projects/Mutli asset risk dashboard portfolio optimization/multi-asset-risk-dashboard-portfolio/output/"/>
    </mc:Choice>
  </mc:AlternateContent>
  <xr:revisionPtr revIDLastSave="28043" documentId="8_{818278D8-E739-42A4-8E9F-86302BB47699}" xr6:coauthVersionLast="47" xr6:coauthVersionMax="47" xr10:uidLastSave="{9964D065-6FCD-439A-9D2C-5F3E344CEB0C}"/>
  <bookViews>
    <workbookView xWindow="28680" yWindow="-120" windowWidth="29040" windowHeight="15720" xr2:uid="{7CC72F75-A00D-4BB4-AA22-2368F3B36045}"/>
  </bookViews>
  <sheets>
    <sheet name="Sheet1" sheetId="1" r:id="rId1"/>
  </sheets>
  <definedNames>
    <definedName name="solver_adj" localSheetId="0" hidden="1">Sheet1!$G$2:$G$25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Sheet1!$F$27</definedName>
    <definedName name="solver_lhs2" localSheetId="0" hidden="1">Sheet1!$F$27</definedName>
    <definedName name="solver_lhs3" localSheetId="0" hidden="1">Sheet1!$G$2:$G$25</definedName>
    <definedName name="solver_lhs4" localSheetId="0" hidden="1">Sheet1!$G$2:$G$25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Sheet1!$H$27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4</definedName>
    <definedName name="solver_rel4" localSheetId="0" hidden="1">3</definedName>
    <definedName name="solver_rhs1" localSheetId="0" hidden="1">Sheet1!$K$2</definedName>
    <definedName name="solver_rhs2" localSheetId="0" hidden="1">Sheet1!$K$2 - 1000</definedName>
    <definedName name="solver_rhs3" localSheetId="0" hidden="1">"integer"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B27" i="1"/>
  <c r="C4" i="1" s="1"/>
  <c r="D4" i="1" s="1"/>
  <c r="E2" i="1" a="1"/>
  <c r="E9" i="1" a="1"/>
  <c r="E3" i="1" a="1"/>
  <c r="F27" i="1" l="1"/>
  <c r="C19" i="1"/>
  <c r="D19" i="1" s="1"/>
  <c r="C11" i="1"/>
  <c r="D11" i="1" s="1"/>
  <c r="C18" i="1"/>
  <c r="D18" i="1" s="1"/>
  <c r="C25" i="1"/>
  <c r="D25" i="1" s="1"/>
  <c r="C9" i="1"/>
  <c r="D9" i="1" s="1"/>
  <c r="C24" i="1"/>
  <c r="D24" i="1" s="1"/>
  <c r="C8" i="1"/>
  <c r="D8" i="1" s="1"/>
  <c r="C23" i="1"/>
  <c r="D23" i="1" s="1"/>
  <c r="C15" i="1"/>
  <c r="D15" i="1" s="1"/>
  <c r="C7" i="1"/>
  <c r="D7" i="1" s="1"/>
  <c r="C22" i="1"/>
  <c r="D22" i="1" s="1"/>
  <c r="C14" i="1"/>
  <c r="D14" i="1" s="1"/>
  <c r="C6" i="1"/>
  <c r="D6" i="1" s="1"/>
  <c r="C21" i="1"/>
  <c r="D21" i="1" s="1"/>
  <c r="C13" i="1"/>
  <c r="D13" i="1" s="1"/>
  <c r="C5" i="1"/>
  <c r="D5" i="1" s="1"/>
  <c r="C3" i="1"/>
  <c r="D3" i="1" s="1"/>
  <c r="C2" i="1"/>
  <c r="D2" i="1" s="1"/>
  <c r="C10" i="1"/>
  <c r="D10" i="1" s="1"/>
  <c r="C17" i="1"/>
  <c r="D17" i="1" s="1"/>
  <c r="C16" i="1"/>
  <c r="D16" i="1" s="1"/>
  <c r="C20" i="1"/>
  <c r="D20" i="1" s="1"/>
  <c r="C12" i="1"/>
  <c r="D12" i="1" s="1"/>
  <c r="E2" i="1"/>
  <c r="E9" i="1"/>
  <c r="E3" i="1"/>
  <c r="E4" i="1" a="1"/>
  <c r="E4" i="1"/>
  <c r="E5" i="1" a="1"/>
  <c r="E5" i="1"/>
  <c r="E6" i="1" a="1"/>
  <c r="E6" i="1"/>
  <c r="E7" i="1" a="1"/>
  <c r="E7" i="1"/>
  <c r="E8" i="1" a="1"/>
  <c r="E8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D27" i="1" l="1"/>
  <c r="H2" i="1"/>
  <c r="H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sharedStrings.xml><?xml version="1.0" encoding="utf-8"?>
<sst xmlns="http://schemas.openxmlformats.org/spreadsheetml/2006/main" count="35" uniqueCount="35">
  <si>
    <t>Asset</t>
  </si>
  <si>
    <t>Portfolio Invested</t>
  </si>
  <si>
    <t>NVDA</t>
  </si>
  <si>
    <t>AVGO</t>
  </si>
  <si>
    <t>MU</t>
  </si>
  <si>
    <t>AMD</t>
  </si>
  <si>
    <t>MRVL</t>
  </si>
  <si>
    <t>MSFT</t>
  </si>
  <si>
    <t>CRWD</t>
  </si>
  <si>
    <t>TEL</t>
  </si>
  <si>
    <t>CDNS</t>
  </si>
  <si>
    <t>CRM</t>
  </si>
  <si>
    <t>NET</t>
  </si>
  <si>
    <t>ADBE</t>
  </si>
  <si>
    <t>NOW</t>
  </si>
  <si>
    <t>EQIX</t>
  </si>
  <si>
    <t>DLR</t>
  </si>
  <si>
    <t>VRT</t>
  </si>
  <si>
    <t>ETN</t>
  </si>
  <si>
    <t>IRM</t>
  </si>
  <si>
    <t>NEE</t>
  </si>
  <si>
    <t>SO</t>
  </si>
  <si>
    <t>SRE</t>
  </si>
  <si>
    <t>LMT</t>
  </si>
  <si>
    <t>RTX</t>
  </si>
  <si>
    <t>GD</t>
  </si>
  <si>
    <t>Current Price/Share ($USD)</t>
  </si>
  <si>
    <t>$USD allocated per asset</t>
  </si>
  <si>
    <t>Date Invested</t>
  </si>
  <si>
    <t>Shares</t>
  </si>
  <si>
    <t>Deviation</t>
  </si>
  <si>
    <t>Normalized Weights</t>
  </si>
  <si>
    <t>Min Deviation:</t>
  </si>
  <si>
    <t>Weight - BLO</t>
  </si>
  <si>
    <t>$USD invested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</si>
</sst>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8" fontId="0" fillId="0" borderId="0" xfId="0" applyNumberFormat="1" applyFont="1"/>
    <xf numFmtId="6" fontId="0" fillId="0" borderId="0" xfId="0" applyNumberFormat="1" applyFont="1"/>
    <xf numFmtId="14" fontId="0" fillId="0" borderId="0" xfId="0" applyNumberFormat="1" applyFont="1"/>
    <xf numFmtId="44" fontId="0" fillId="0" borderId="0" xfId="1" applyFont="1"/>
    <xf numFmtId="44" fontId="0" fillId="2" borderId="0" xfId="0" applyNumberFormat="1" applyFont="1" applyFill="1"/>
    <xf numFmtId="0" fontId="0" fillId="2" borderId="0" xfId="0" applyFon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5">
  <a r="1">
    <v t="i">0</v>
  </a>
  <a r="1">
    <v>185.47</v>
  </a>
  <a r="1">
    <v>218.4</v>
  </a>
  <a r="1">
    <v>217.55</v>
  </a>
  <a r="1">
    <v>257.08</v>
  </a>
  <a r="1">
    <v>932.86</v>
  </a>
  <a r="1">
    <v>299.83999999999997</v>
  </a>
  <a r="1">
    <v>81.84</v>
  </a>
  <a r="1">
    <v>211.71</v>
  </a>
  <a r="1">
    <v>465.58</v>
  </a>
  <a r="1">
    <v>291.52</v>
  </a>
  <a r="1">
    <v>88.25</v>
  </a>
  <a r="1">
    <v>379.32</v>
  </a>
  <a r="1">
    <v>216.62</v>
  </a>
  <a r="1">
    <v>340.39</v>
  </a>
  <a r="1">
    <v>144.71</v>
  </a>
  <a r="1">
    <v>402.78</v>
  </a>
  <a r="1">
    <v>84.31</v>
  </a>
  <a r="1">
    <v>368.79</v>
  </a>
  <a r="1">
    <v>563.85</v>
  </a>
  <a r="1">
    <v>513.53</v>
  </a>
  <a r="1">
    <v>256</v>
  </a>
  <a r="1">
    <v>1044.4100000000001</v>
  </a>
  <a r="1">
    <v>117.4</v>
  </a>
  <a r="1">
    <v>202.66</v>
  </a>
</arrayData>
</file>

<file path=xl/richData/rdrichvalue.xml><?xml version="1.0" encoding="utf-8"?>
<rvData xmlns="http://schemas.microsoft.com/office/spreadsheetml/2017/richdata" count="48">
  <rv s="0">
    <fb>217.55</fb>
    <v>0</v>
  </rv>
  <rv s="0">
    <fb>368.79</fb>
    <v>0</v>
  </rv>
  <rv s="0">
    <fb>932.86</fb>
    <v>0</v>
  </rv>
  <rv s="0">
    <fb>465.58</fb>
    <v>0</v>
  </rv>
  <rv s="0">
    <fb>216.62</fb>
    <v>0</v>
  </rv>
  <rv s="0">
    <fb>513.53</fb>
    <v>0</v>
  </rv>
  <rv s="0">
    <fb>218.4</fb>
    <v>0</v>
  </rv>
  <rv s="0">
    <fb>202.66</fb>
    <v>0</v>
  </rv>
  <rv s="0">
    <fb>340.39</fb>
    <v>0</v>
  </rv>
  <rv s="0">
    <fb>256</fb>
    <v>0</v>
  </rv>
  <rv s="0">
    <fb>299.83999999999997</fb>
    <v>0</v>
  </rv>
  <rv s="0">
    <fb>291.52</fb>
    <v>0</v>
  </rv>
  <rv s="0">
    <fb>144.71</fb>
    <v>0</v>
  </rv>
  <rv s="0">
    <fb>1044.4100000000001</fb>
    <v>0</v>
  </rv>
  <rv s="0">
    <fb>185.47</fb>
    <v>0</v>
  </rv>
  <rv s="0">
    <fb>257.08</fb>
    <v>0</v>
  </rv>
  <rv s="0">
    <fb>402.78</fb>
    <v>0</v>
  </rv>
  <rv s="0">
    <fb>117.4</fb>
    <v>0</v>
  </rv>
  <rv s="0">
    <fb>81.84</fb>
    <v>0</v>
  </rv>
  <rv s="0">
    <fb>88.25</fb>
    <v>0</v>
  </rv>
  <rv s="0">
    <fb>84.31</fb>
    <v>0</v>
  </rv>
  <rv s="0">
    <fb>563.85</fb>
    <v>0</v>
  </rv>
  <rv s="0">
    <fb>211.71</fb>
    <v>0</v>
  </rv>
  <rv s="0">
    <fb>379.32</fb>
    <v>0</v>
  </rv>
  <rv s="1">
    <v>1</v>
    <v>DLR</v>
    <v>Daily</v>
    <v>46262</v>
    <v>46262</v>
    <v>0</v>
    <v>1</v>
    <v>639234720000000000,639236442926208864,0</v>
    <v>0</v>
    <v>a1r5fr</v>
    <v>XNYS:DLR</v>
    <v>1</v>
  </rv>
  <rv s="1">
    <v>1</v>
    <v>CRWD</v>
    <v>Daily</v>
    <v>46262</v>
    <v>46262</v>
    <v>0</v>
    <v>1</v>
    <v>639234720000000000,639236442927244496,0</v>
    <v>0</v>
    <v>bq8rqh</v>
    <v>XNAS:CRWD</v>
    <v>2</v>
  </rv>
  <rv s="1">
    <v>1</v>
    <v>NVDA</v>
    <v>Daily</v>
    <v>46262</v>
    <v>46262</v>
    <v>0</v>
    <v>1</v>
    <v>639234720000000000,639236443129464748,0</v>
    <v>0</v>
    <v>a1yv52</v>
    <v>XNAS:NVDA</v>
    <v>3</v>
  </rv>
  <rv s="1">
    <v>1</v>
    <v>VRT</v>
    <v>Daily</v>
    <v>46262</v>
    <v>46262</v>
    <v>0</v>
    <v>1</v>
    <v>639234720000000000,639236442926222014,0</v>
    <v>0</v>
    <v>b19hc7</v>
    <v>XNYS:VRT</v>
    <v>4</v>
  </rv>
  <rv s="1">
    <v>1</v>
    <v>MU</v>
    <v>Daily</v>
    <v>46262</v>
    <v>46262</v>
    <v>0</v>
    <v>1</v>
    <v>639234720000000000,639236442927114964,0</v>
    <v>0</v>
    <v>a1y4oc</v>
    <v>XNAS:MU</v>
    <v>5</v>
  </rv>
  <rv s="1">
    <v>1</v>
    <v>NET</v>
    <v>Daily</v>
    <v>46262</v>
    <v>46262</v>
    <v>0</v>
    <v>1</v>
    <v>639234720000000000,639236442927357827,0</v>
    <v>0</v>
    <v>brh6oc</v>
    <v>XNYS:NET</v>
    <v>6</v>
  </rv>
  <rv s="1">
    <v>1</v>
    <v>NEE</v>
    <v>Daily</v>
    <v>46262</v>
    <v>46262</v>
    <v>0</v>
    <v>1</v>
    <v>639234720000000000,639236442926311730,0</v>
    <v>0</v>
    <v>a1ye2w</v>
    <v>XNYS:NEE</v>
    <v>7</v>
  </rv>
  <rv s="1">
    <v>1</v>
    <v>RTX</v>
    <v>Daily</v>
    <v>46262</v>
    <v>46262</v>
    <v>0</v>
    <v>1</v>
    <v>639234720000000000,639236442925477156,0</v>
    <v>0</v>
    <v>a25552</v>
    <v>XNYS:RTX</v>
    <v>8</v>
  </rv>
  <rv s="1">
    <v>1</v>
    <v>AMD</v>
    <v>Daily</v>
    <v>46262</v>
    <v>46262</v>
    <v>0</v>
    <v>1</v>
    <v>639234720000000000,639236442927155586,0</v>
    <v>0</v>
    <v>a1ndww</v>
    <v>XNAS:AMD</v>
    <v>9</v>
  </rv>
  <rv s="1">
    <v>1</v>
    <v>ADBE</v>
    <v>Daily</v>
    <v>46262</v>
    <v>46262</v>
    <v>0</v>
    <v>1</v>
    <v>639234720000000000,639236442926099296,0</v>
    <v>0</v>
    <v>a1mv7w</v>
    <v>XNAS:ADBE</v>
    <v>10</v>
  </rv>
  <rv s="1">
    <v>1</v>
    <v>SO</v>
    <v>Daily</v>
    <v>46262</v>
    <v>46262</v>
    <v>0</v>
    <v>1</v>
    <v>639234720000000000,639236442926350851,0</v>
    <v>0</v>
    <v>a23a5r</v>
    <v>XNYS:SO</v>
    <v>11</v>
  </rv>
  <rv s="1">
    <v>1</v>
    <v>GD</v>
    <v>Daily</v>
    <v>46262</v>
    <v>46262</v>
    <v>0</v>
    <v>1</v>
    <v>639234720000000000,639236442925511714,0</v>
    <v>0</v>
    <v>a1tppr</v>
    <v>XNYS:GD</v>
    <v>12</v>
  </rv>
  <rv s="1">
    <v>1</v>
    <v>MRVL</v>
    <v>Daily</v>
    <v>46262</v>
    <v>46262</v>
    <v>0</v>
    <v>1</v>
    <v>639234720000000000,639236442927180868,0</v>
    <v>0</v>
    <v>a1xygh</v>
    <v>XNAS:MRVL</v>
    <v>13</v>
  </rv>
  <rv s="1">
    <v>1</v>
    <v>CDNS</v>
    <v>Daily</v>
    <v>46262</v>
    <v>46262</v>
    <v>0</v>
    <v>1</v>
    <v>639234720000000000,639236442927304057,0</v>
    <v>0</v>
    <v>a1pejc</v>
    <v>XNAS:CDNS</v>
    <v>14</v>
  </rv>
  <rv s="1">
    <v>1</v>
    <v>NOW</v>
    <v>Daily</v>
    <v>46262</v>
    <v>46262</v>
    <v>0</v>
    <v>1</v>
    <v>639234720000000000,639236442926134450,0</v>
    <v>0</v>
    <v>a1yoa2</v>
    <v>XNYS:NOW</v>
    <v>15</v>
  </rv>
  <rv s="1">
    <v>1</v>
    <v>ETN</v>
    <v>Daily</v>
    <v>46262</v>
    <v>46262</v>
    <v>0</v>
    <v>1</v>
    <v>639234720000000000,639236442926260852,0</v>
    <v>0</v>
    <v>a1safr</v>
    <v>XNYS:ETN</v>
    <v>16</v>
  </rv>
  <rv s="1">
    <v>1</v>
    <v>SRE</v>
    <v>Daily</v>
    <v>46262</v>
    <v>46262</v>
    <v>0</v>
    <v>1</v>
    <v>639234720000000000,639236442926368864,0</v>
    <v>0</v>
    <v>a23jjc</v>
    <v>XNYS:SRE</v>
    <v>17</v>
  </rv>
  <rv s="1">
    <v>1</v>
    <v>AVGO</v>
    <v>Daily</v>
    <v>46262</v>
    <v>46262</v>
    <v>0</v>
    <v>1</v>
    <v>639234720000000000,639236442927084400,0</v>
    <v>0</v>
    <v>a1nz8m</v>
    <v>XNAS:AVGO</v>
    <v>18</v>
  </rv>
  <rv s="1">
    <v>1</v>
    <v>LMT</v>
    <v>Daily</v>
    <v>46262</v>
    <v>46262</v>
    <v>0</v>
    <v>1</v>
    <v>639234720000000000,639236442925454343,0</v>
    <v>0</v>
    <v>a1wzw7</v>
    <v>XNYS:LMT</v>
    <v>19</v>
  </rv>
  <rv s="1">
    <v>1</v>
    <v>MSFT</v>
    <v>Daily</v>
    <v>46262</v>
    <v>46262</v>
    <v>0</v>
    <v>1</v>
    <v>639234720000000000,639236442927205943,0</v>
    <v>0</v>
    <v>a1xzim</v>
    <v>XNAS:MSFT</v>
    <v>20</v>
  </rv>
  <rv s="1">
    <v>1</v>
    <v>CRM</v>
    <v>Daily</v>
    <v>46262</v>
    <v>46262</v>
    <v>0</v>
    <v>1</v>
    <v>639234720000000000,639236442927331782,0</v>
    <v>0</v>
    <v>a1qc1h</v>
    <v>XNYS:CRM</v>
    <v>21</v>
  </rv>
  <rv s="1">
    <v>1</v>
    <v>EQIX</v>
    <v>Daily</v>
    <v>46262</v>
    <v>46262</v>
    <v>0</v>
    <v>1</v>
    <v>639234720000000000,639236442926167730,0</v>
    <v>0</v>
    <v>a1s4mw</v>
    <v>XNAS:EQIX</v>
    <v>22</v>
  </rv>
  <rv s="1">
    <v>1</v>
    <v>IRM</v>
    <v>Daily</v>
    <v>46262</v>
    <v>46262</v>
    <v>0</v>
    <v>1</v>
    <v>639234720000000000,639236442926284508,0</v>
    <v>0</v>
    <v>a1vrec</v>
    <v>XNYS:IRM</v>
    <v>23</v>
  </rv>
  <rv s="1">
    <v>1</v>
    <v>XNYS:TEL</v>
    <v>Daily</v>
    <v>46262</v>
    <v>46262</v>
    <v>0</v>
    <v>1</v>
    <v>639234720000000000,639236443082637979,0</v>
    <v>0</v>
    <v>a244dm</v>
    <v>XNYS:TEL</v>
    <v>24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60E4-6FF0-4B96-ADD2-2873F86440DB}">
  <dimension ref="A1:K27"/>
  <sheetViews>
    <sheetView tabSelected="1" workbookViewId="0">
      <selection activeCell="A22" sqref="A22"/>
    </sheetView>
  </sheetViews>
  <sheetFormatPr defaultRowHeight="14.5" x14ac:dyDescent="0.35"/>
  <cols>
    <col min="1" max="1" width="8.7265625" style="1"/>
    <col min="2" max="2" width="13.81640625" style="1" customWidth="1"/>
    <col min="3" max="3" width="19.26953125" style="1" customWidth="1"/>
    <col min="4" max="4" width="21.90625" style="1" bestFit="1" customWidth="1"/>
    <col min="5" max="5" width="24.08984375" style="1" bestFit="1" customWidth="1"/>
    <col min="6" max="8" width="21.54296875" style="1" customWidth="1"/>
    <col min="9" max="9" width="8.7265625" style="1"/>
    <col min="10" max="10" width="16.453125" style="1" bestFit="1" customWidth="1"/>
    <col min="11" max="11" width="14.7265625" style="1" customWidth="1"/>
    <col min="12" max="16384" width="8.7265625" style="1"/>
  </cols>
  <sheetData>
    <row r="1" spans="1:11" x14ac:dyDescent="0.35">
      <c r="A1" s="1" t="s">
        <v>0</v>
      </c>
      <c r="B1" s="1" t="s">
        <v>33</v>
      </c>
      <c r="C1" s="1" t="s">
        <v>31</v>
      </c>
      <c r="D1" s="1" t="s">
        <v>27</v>
      </c>
      <c r="E1" s="1" t="s">
        <v>26</v>
      </c>
      <c r="F1" s="1" t="s">
        <v>34</v>
      </c>
      <c r="G1" s="1" t="s">
        <v>29</v>
      </c>
      <c r="H1" s="1" t="s">
        <v>30</v>
      </c>
    </row>
    <row r="2" spans="1:11" x14ac:dyDescent="0.35">
      <c r="A2" s="8" t="s">
        <v>2</v>
      </c>
      <c r="B2" s="2">
        <v>0.31040000000000001</v>
      </c>
      <c r="C2" s="2">
        <f>B2/$B$27</f>
        <v>0.31036896310368955</v>
      </c>
      <c r="D2" s="3">
        <f>$K$2*C2</f>
        <v>23277.672232776717</v>
      </c>
      <c r="E2" s="1" cm="1" vm="1">
        <f t="array" aca="1" ref="E2" ca="1">_xlfn.STOCKHISTORY(A2,$K$3,$K$3,0,0,1)</f>
        <v>217.55</v>
      </c>
      <c r="F2" s="6">
        <f ca="1">E2*G2</f>
        <v>23277.850000000002</v>
      </c>
      <c r="G2" s="1">
        <v>107</v>
      </c>
      <c r="H2" s="6">
        <f ca="1">ABS(D2-F2)</f>
        <v>0.17776722328562755</v>
      </c>
      <c r="J2" s="1" t="s">
        <v>1</v>
      </c>
      <c r="K2" s="4">
        <v>75000</v>
      </c>
    </row>
    <row r="3" spans="1:11" x14ac:dyDescent="0.35">
      <c r="A3" s="8" t="s">
        <v>3</v>
      </c>
      <c r="B3" s="2">
        <v>0.1057</v>
      </c>
      <c r="C3" s="2">
        <f t="shared" ref="C3:C25" si="0">B3/$B$27</f>
        <v>0.1056894310568943</v>
      </c>
      <c r="D3" s="3">
        <f t="shared" ref="D3:D25" si="1">$K$2*C3</f>
        <v>7926.7073292670721</v>
      </c>
      <c r="E3" s="1" cm="1" vm="2">
        <f t="array" aca="1" ref="E3" ca="1">_xlfn.STOCKHISTORY(A3,$K$3,$K$3,0,0,1)</f>
        <v>368.79</v>
      </c>
      <c r="F3" s="6">
        <f t="shared" ref="F3:F25" ca="1" si="2">E3*G3</f>
        <v>7744.59</v>
      </c>
      <c r="G3" s="1">
        <v>21</v>
      </c>
      <c r="H3" s="6">
        <f ca="1">ABS(D3-F3)</f>
        <v>182.11732926707191</v>
      </c>
      <c r="J3" s="1" t="s">
        <v>28</v>
      </c>
      <c r="K3" s="5">
        <v>46262</v>
      </c>
    </row>
    <row r="4" spans="1:11" x14ac:dyDescent="0.35">
      <c r="A4" s="2" t="s">
        <v>4</v>
      </c>
      <c r="B4" s="2">
        <v>0</v>
      </c>
      <c r="C4" s="2">
        <f t="shared" si="0"/>
        <v>0</v>
      </c>
      <c r="D4" s="3">
        <f t="shared" si="1"/>
        <v>0</v>
      </c>
      <c r="E4" s="1" cm="1" vm="3">
        <f t="array" aca="1" ref="E4" ca="1">_xlfn.STOCKHISTORY(A4,$K$3,$K$3,0,0,1)</f>
        <v>932.86</v>
      </c>
      <c r="F4" s="6">
        <f t="shared" ca="1" si="2"/>
        <v>0</v>
      </c>
      <c r="G4" s="1">
        <v>0</v>
      </c>
      <c r="H4" s="6">
        <f ca="1">ABS(D4-F4)</f>
        <v>0</v>
      </c>
    </row>
    <row r="5" spans="1:11" x14ac:dyDescent="0.35">
      <c r="A5" s="8" t="s">
        <v>5</v>
      </c>
      <c r="B5" s="2">
        <v>3.7499999999999999E-2</v>
      </c>
      <c r="C5" s="2">
        <f t="shared" si="0"/>
        <v>3.7496250374962493E-2</v>
      </c>
      <c r="D5" s="3">
        <f t="shared" si="1"/>
        <v>2812.2187781221869</v>
      </c>
      <c r="E5" s="1" cm="1" vm="4">
        <f t="array" aca="1" ref="E5" ca="1">_xlfn.STOCKHISTORY(A5,$K$3,$K$3,0,0,1)</f>
        <v>465.58</v>
      </c>
      <c r="F5" s="6">
        <f t="shared" ca="1" si="2"/>
        <v>2793.48</v>
      </c>
      <c r="G5" s="1">
        <v>6</v>
      </c>
      <c r="H5" s="6">
        <f ca="1">ABS(D5-F5)</f>
        <v>18.738778122186886</v>
      </c>
    </row>
    <row r="6" spans="1:11" x14ac:dyDescent="0.35">
      <c r="A6" s="2" t="s">
        <v>6</v>
      </c>
      <c r="B6" s="2">
        <v>0</v>
      </c>
      <c r="C6" s="2">
        <f t="shared" si="0"/>
        <v>0</v>
      </c>
      <c r="D6" s="3">
        <f t="shared" si="1"/>
        <v>0</v>
      </c>
      <c r="E6" s="1" cm="1" vm="5">
        <f t="array" aca="1" ref="E6" ca="1">_xlfn.STOCKHISTORY(A6,$K$3,$K$3,0,0,1)</f>
        <v>216.62</v>
      </c>
      <c r="F6" s="6">
        <f t="shared" ca="1" si="2"/>
        <v>0</v>
      </c>
      <c r="G6" s="1">
        <v>0</v>
      </c>
      <c r="H6" s="6">
        <f ca="1">ABS(D6-F6)</f>
        <v>0</v>
      </c>
    </row>
    <row r="7" spans="1:11" x14ac:dyDescent="0.35">
      <c r="A7" s="8" t="s">
        <v>7</v>
      </c>
      <c r="B7" s="2">
        <v>0.1144</v>
      </c>
      <c r="C7" s="2">
        <f t="shared" si="0"/>
        <v>0.11438856114388558</v>
      </c>
      <c r="D7" s="3">
        <f t="shared" si="1"/>
        <v>8579.1420857914181</v>
      </c>
      <c r="E7" s="1" cm="1" vm="6">
        <f t="array" aca="1" ref="E7" ca="1">_xlfn.STOCKHISTORY(A7,$K$3,$K$3,0,0,1)</f>
        <v>513.53</v>
      </c>
      <c r="F7" s="6">
        <f t="shared" ca="1" si="2"/>
        <v>8730.01</v>
      </c>
      <c r="G7" s="1">
        <v>17</v>
      </c>
      <c r="H7" s="6">
        <f ca="1">ABS(D7-F7)</f>
        <v>150.86791420858208</v>
      </c>
    </row>
    <row r="8" spans="1:11" x14ac:dyDescent="0.35">
      <c r="A8" s="2" t="s">
        <v>8</v>
      </c>
      <c r="B8" s="2">
        <v>0</v>
      </c>
      <c r="C8" s="2">
        <f t="shared" si="0"/>
        <v>0</v>
      </c>
      <c r="D8" s="3">
        <f t="shared" si="1"/>
        <v>0</v>
      </c>
      <c r="E8" s="1" cm="1" vm="7">
        <f t="array" aca="1" ref="E8" ca="1">_xlfn.STOCKHISTORY(A8,$K$3,$K$3,0,0,1)</f>
        <v>218.4</v>
      </c>
      <c r="F8" s="6">
        <f t="shared" ca="1" si="2"/>
        <v>0</v>
      </c>
      <c r="G8" s="1">
        <v>0</v>
      </c>
      <c r="H8" s="6">
        <f ca="1">ABS(D8-F8)</f>
        <v>0</v>
      </c>
    </row>
    <row r="9" spans="1:11" x14ac:dyDescent="0.35">
      <c r="A9" s="8" t="s">
        <v>9</v>
      </c>
      <c r="B9" s="2">
        <v>6.1400000000000003E-2</v>
      </c>
      <c r="C9" s="2">
        <f t="shared" si="0"/>
        <v>6.1393860613938596E-2</v>
      </c>
      <c r="D9" s="3">
        <f t="shared" si="1"/>
        <v>4604.5395460453947</v>
      </c>
      <c r="E9" s="1" cm="1" vm="8">
        <f t="array" aca="1" ref="E9" ca="1">_xlfn.STOCKHISTORY("XNYS:"&amp;A9,$K$3,$K$3,0,0,1)</f>
        <v>202.66</v>
      </c>
      <c r="F9" s="6">
        <f t="shared" ca="1" si="2"/>
        <v>4661.18</v>
      </c>
      <c r="G9" s="1">
        <v>23</v>
      </c>
      <c r="H9" s="6">
        <f ca="1">ABS(D9-F9)</f>
        <v>56.640453954605618</v>
      </c>
    </row>
    <row r="10" spans="1:11" x14ac:dyDescent="0.35">
      <c r="A10" s="2" t="s">
        <v>10</v>
      </c>
      <c r="B10" s="2">
        <v>0</v>
      </c>
      <c r="C10" s="2">
        <f t="shared" si="0"/>
        <v>0</v>
      </c>
      <c r="D10" s="3">
        <f t="shared" si="1"/>
        <v>0</v>
      </c>
      <c r="E10" s="1" cm="1" vm="9">
        <f t="array" aca="1" ref="E10" ca="1">_xlfn.STOCKHISTORY(A10,$K$3,$K$3,0,0,1)</f>
        <v>340.39</v>
      </c>
      <c r="F10" s="6">
        <f t="shared" ca="1" si="2"/>
        <v>0</v>
      </c>
      <c r="G10" s="1">
        <v>0</v>
      </c>
      <c r="H10" s="6">
        <f ca="1">ABS(D10-F10)</f>
        <v>0</v>
      </c>
    </row>
    <row r="11" spans="1:11" x14ac:dyDescent="0.35">
      <c r="A11" s="2" t="s">
        <v>11</v>
      </c>
      <c r="B11" s="2">
        <v>0</v>
      </c>
      <c r="C11" s="2">
        <f t="shared" si="0"/>
        <v>0</v>
      </c>
      <c r="D11" s="3">
        <f t="shared" si="1"/>
        <v>0</v>
      </c>
      <c r="E11" s="1" cm="1" vm="10">
        <f t="array" aca="1" ref="E11" ca="1">_xlfn.STOCKHISTORY(A11,$K$3,$K$3,0,0,1)</f>
        <v>256</v>
      </c>
      <c r="F11" s="6">
        <f t="shared" ca="1" si="2"/>
        <v>0</v>
      </c>
      <c r="G11" s="1">
        <v>0</v>
      </c>
      <c r="H11" s="6">
        <f ca="1">ABS(D11-F11)</f>
        <v>0</v>
      </c>
    </row>
    <row r="12" spans="1:11" x14ac:dyDescent="0.35">
      <c r="A12" s="8" t="s">
        <v>12</v>
      </c>
      <c r="B12" s="2">
        <v>1.2200000000000001E-2</v>
      </c>
      <c r="C12" s="2">
        <f t="shared" si="0"/>
        <v>1.2198780121987799E-2</v>
      </c>
      <c r="D12" s="3">
        <f t="shared" si="1"/>
        <v>914.90850914908492</v>
      </c>
      <c r="E12" s="1" cm="1" vm="11">
        <f t="array" aca="1" ref="E12" ca="1">_xlfn.STOCKHISTORY(A12,$K$3,$K$3,0,0,1)</f>
        <v>299.83999999999997</v>
      </c>
      <c r="F12" s="6">
        <f t="shared" ca="1" si="2"/>
        <v>899.52</v>
      </c>
      <c r="G12" s="1">
        <v>3</v>
      </c>
      <c r="H12" s="6">
        <f ca="1">ABS(D12-F12)</f>
        <v>15.388509149084939</v>
      </c>
    </row>
    <row r="13" spans="1:11" x14ac:dyDescent="0.35">
      <c r="A13" s="8" t="s">
        <v>13</v>
      </c>
      <c r="B13" s="2">
        <v>2.3900000000000001E-2</v>
      </c>
      <c r="C13" s="2">
        <f t="shared" si="0"/>
        <v>2.3897610238976099E-2</v>
      </c>
      <c r="D13" s="3">
        <f t="shared" si="1"/>
        <v>1792.3207679232073</v>
      </c>
      <c r="E13" s="1" cm="1" vm="12">
        <f t="array" aca="1" ref="E13" ca="1">_xlfn.STOCKHISTORY(A13,$K$3,$K$3,0,0,1)</f>
        <v>291.52</v>
      </c>
      <c r="F13" s="6">
        <f t="shared" ca="1" si="2"/>
        <v>1749.12</v>
      </c>
      <c r="G13" s="1">
        <v>6</v>
      </c>
      <c r="H13" s="6">
        <f ca="1">ABS(D13-F13)</f>
        <v>43.200767923207422</v>
      </c>
    </row>
    <row r="14" spans="1:11" x14ac:dyDescent="0.35">
      <c r="A14" s="8" t="s">
        <v>14</v>
      </c>
      <c r="B14" s="2">
        <v>2.1000000000000001E-2</v>
      </c>
      <c r="C14" s="2">
        <f t="shared" si="0"/>
        <v>2.0997900209978999E-2</v>
      </c>
      <c r="D14" s="3">
        <f t="shared" si="1"/>
        <v>1574.8425157484251</v>
      </c>
      <c r="E14" s="1" cm="1" vm="13">
        <f t="array" aca="1" ref="E14" ca="1">_xlfn.STOCKHISTORY(A14,$K$3,$K$3,0,0,1)</f>
        <v>144.71</v>
      </c>
      <c r="F14" s="6">
        <f t="shared" ca="1" si="2"/>
        <v>1591.8100000000002</v>
      </c>
      <c r="G14" s="1">
        <v>11</v>
      </c>
      <c r="H14" s="6">
        <f ca="1">ABS(D14-F14)</f>
        <v>16.967484251575115</v>
      </c>
    </row>
    <row r="15" spans="1:11" x14ac:dyDescent="0.35">
      <c r="A15" s="2" t="s">
        <v>15</v>
      </c>
      <c r="B15" s="2">
        <v>0</v>
      </c>
      <c r="C15" s="2">
        <f t="shared" si="0"/>
        <v>0</v>
      </c>
      <c r="D15" s="3">
        <f t="shared" si="1"/>
        <v>0</v>
      </c>
      <c r="E15" s="1" cm="1" vm="14">
        <f t="array" aca="1" ref="E15" ca="1">_xlfn.STOCKHISTORY(A15,$K$3,$K$3,0,0,1)</f>
        <v>1044.4100000000001</v>
      </c>
      <c r="F15" s="6">
        <f t="shared" ca="1" si="2"/>
        <v>0</v>
      </c>
      <c r="G15" s="1">
        <v>0</v>
      </c>
      <c r="H15" s="6">
        <f ca="1">ABS(D15-F15)</f>
        <v>0</v>
      </c>
    </row>
    <row r="16" spans="1:11" x14ac:dyDescent="0.35">
      <c r="A16" s="8" t="s">
        <v>16</v>
      </c>
      <c r="B16" s="2">
        <v>1.4200000000000001E-2</v>
      </c>
      <c r="C16" s="2">
        <f t="shared" si="0"/>
        <v>1.4198580141985799E-2</v>
      </c>
      <c r="D16" s="3">
        <f t="shared" si="1"/>
        <v>1064.8935106489348</v>
      </c>
      <c r="E16" s="1" cm="1" vm="15">
        <f t="array" aca="1" ref="E16" ca="1">_xlfn.STOCKHISTORY(A16,$K$3,$K$3,0,0,1)</f>
        <v>185.47</v>
      </c>
      <c r="F16" s="6">
        <f t="shared" ca="1" si="2"/>
        <v>1112.82</v>
      </c>
      <c r="G16" s="1">
        <v>6</v>
      </c>
      <c r="H16" s="6">
        <f ca="1">ABS(D16-F16)</f>
        <v>47.926489351065129</v>
      </c>
    </row>
    <row r="17" spans="1:8" x14ac:dyDescent="0.35">
      <c r="A17" s="2" t="s">
        <v>17</v>
      </c>
      <c r="B17" s="2">
        <v>0</v>
      </c>
      <c r="C17" s="2">
        <f t="shared" si="0"/>
        <v>0</v>
      </c>
      <c r="D17" s="3">
        <f t="shared" si="1"/>
        <v>0</v>
      </c>
      <c r="E17" s="1" cm="1" vm="16">
        <f t="array" aca="1" ref="E17" ca="1">_xlfn.STOCKHISTORY(A17,$K$3,$K$3,0,0,1)</f>
        <v>257.08</v>
      </c>
      <c r="F17" s="6">
        <f t="shared" ca="1" si="2"/>
        <v>0</v>
      </c>
      <c r="G17" s="1">
        <v>0</v>
      </c>
      <c r="H17" s="6">
        <f ca="1">ABS(D17-F17)</f>
        <v>0</v>
      </c>
    </row>
    <row r="18" spans="1:8" x14ac:dyDescent="0.35">
      <c r="A18" s="2" t="s">
        <v>18</v>
      </c>
      <c r="B18" s="2">
        <v>0</v>
      </c>
      <c r="C18" s="2">
        <f t="shared" si="0"/>
        <v>0</v>
      </c>
      <c r="D18" s="3">
        <f t="shared" si="1"/>
        <v>0</v>
      </c>
      <c r="E18" s="1" cm="1" vm="17">
        <f t="array" aca="1" ref="E18" ca="1">_xlfn.STOCKHISTORY(A18,$K$3,$K$3,0,0,1)</f>
        <v>402.78</v>
      </c>
      <c r="F18" s="6">
        <f t="shared" ca="1" si="2"/>
        <v>0</v>
      </c>
      <c r="G18" s="1">
        <v>0</v>
      </c>
      <c r="H18" s="6">
        <f ca="1">ABS(D18-F18)</f>
        <v>0</v>
      </c>
    </row>
    <row r="19" spans="1:8" x14ac:dyDescent="0.35">
      <c r="A19" s="2" t="s">
        <v>19</v>
      </c>
      <c r="B19" s="2">
        <v>0</v>
      </c>
      <c r="C19" s="2">
        <f t="shared" si="0"/>
        <v>0</v>
      </c>
      <c r="D19" s="3">
        <f t="shared" si="1"/>
        <v>0</v>
      </c>
      <c r="E19" s="1" cm="1" vm="18">
        <f t="array" aca="1" ref="E19" ca="1">_xlfn.STOCKHISTORY(A19,$K$3,$K$3,0,0,1)</f>
        <v>117.4</v>
      </c>
      <c r="F19" s="6">
        <f t="shared" ca="1" si="2"/>
        <v>0</v>
      </c>
      <c r="G19" s="1">
        <v>0</v>
      </c>
      <c r="H19" s="6">
        <f ca="1">ABS(D19-F19)</f>
        <v>0</v>
      </c>
    </row>
    <row r="20" spans="1:8" x14ac:dyDescent="0.35">
      <c r="A20" s="8" t="s">
        <v>20</v>
      </c>
      <c r="B20" s="2">
        <v>1.09E-2</v>
      </c>
      <c r="C20" s="2">
        <f t="shared" si="0"/>
        <v>1.0898910108989098E-2</v>
      </c>
      <c r="D20" s="3">
        <f t="shared" si="1"/>
        <v>817.41825817418237</v>
      </c>
      <c r="E20" s="1" cm="1" vm="19">
        <f t="array" aca="1" ref="E20" ca="1">_xlfn.STOCKHISTORY(A20,$K$3,$K$3,0,0,1)</f>
        <v>81.84</v>
      </c>
      <c r="F20" s="6">
        <f t="shared" ca="1" si="2"/>
        <v>818.40000000000009</v>
      </c>
      <c r="G20" s="1">
        <v>10</v>
      </c>
      <c r="H20" s="6">
        <f ca="1">ABS(D20-F20)</f>
        <v>0.98174182581772129</v>
      </c>
    </row>
    <row r="21" spans="1:8" x14ac:dyDescent="0.35">
      <c r="A21" s="8" t="s">
        <v>21</v>
      </c>
      <c r="B21" s="2">
        <v>6.9000000000000006E-2</v>
      </c>
      <c r="C21" s="2">
        <f t="shared" si="0"/>
        <v>6.8993100689931003E-2</v>
      </c>
      <c r="D21" s="3">
        <f t="shared" si="1"/>
        <v>5174.4825517448253</v>
      </c>
      <c r="E21" s="1" cm="1" vm="20">
        <f t="array" aca="1" ref="E21" ca="1">_xlfn.STOCKHISTORY(A21,$K$3,$K$3,0,0,1)</f>
        <v>88.25</v>
      </c>
      <c r="F21" s="6">
        <f t="shared" ca="1" si="2"/>
        <v>5206.75</v>
      </c>
      <c r="G21" s="1">
        <v>59</v>
      </c>
      <c r="H21" s="6">
        <f ca="1">ABS(D21-F21)</f>
        <v>32.267448255174713</v>
      </c>
    </row>
    <row r="22" spans="1:8" x14ac:dyDescent="0.35">
      <c r="A22" s="8" t="s">
        <v>22</v>
      </c>
      <c r="B22" s="2">
        <v>9.4000000000000004E-3</v>
      </c>
      <c r="C22" s="2">
        <f t="shared" si="0"/>
        <v>9.399060093990599E-3</v>
      </c>
      <c r="D22" s="3">
        <f t="shared" si="1"/>
        <v>704.9295070492949</v>
      </c>
      <c r="E22" s="1" cm="1" vm="21">
        <f t="array" aca="1" ref="E22" ca="1">_xlfn.STOCKHISTORY(A22,$K$3,$K$3,0,0,1)</f>
        <v>84.31</v>
      </c>
      <c r="F22" s="6">
        <f t="shared" ca="1" si="2"/>
        <v>674.48</v>
      </c>
      <c r="G22" s="1">
        <v>8</v>
      </c>
      <c r="H22" s="6">
        <f ca="1">ABS(D22-F22)</f>
        <v>30.44950704929488</v>
      </c>
    </row>
    <row r="23" spans="1:8" x14ac:dyDescent="0.35">
      <c r="A23" s="2" t="s">
        <v>23</v>
      </c>
      <c r="B23" s="2">
        <v>0.18160000000000001</v>
      </c>
      <c r="C23" s="2">
        <f t="shared" si="0"/>
        <v>0.18158184181581838</v>
      </c>
      <c r="D23" s="3">
        <f t="shared" si="1"/>
        <v>13618.638136186379</v>
      </c>
      <c r="E23" s="1" cm="1" vm="22">
        <f t="array" aca="1" ref="E23" ca="1">_xlfn.STOCKHISTORY(A23,$K$3,$K$3,0,0,1)</f>
        <v>563.85</v>
      </c>
      <c r="F23" s="6">
        <f t="shared" ca="1" si="2"/>
        <v>13532.400000000001</v>
      </c>
      <c r="G23" s="1">
        <v>24</v>
      </c>
      <c r="H23" s="6">
        <f ca="1">ABS(D23-F23)</f>
        <v>86.238136186377233</v>
      </c>
    </row>
    <row r="24" spans="1:8" x14ac:dyDescent="0.35">
      <c r="A24" s="2" t="s">
        <v>24</v>
      </c>
      <c r="B24" s="2">
        <v>1.47E-2</v>
      </c>
      <c r="C24" s="2">
        <f t="shared" si="0"/>
        <v>1.4698530146985299E-2</v>
      </c>
      <c r="D24" s="3">
        <f t="shared" si="1"/>
        <v>1102.3897610238973</v>
      </c>
      <c r="E24" s="1" cm="1" vm="23">
        <f t="array" aca="1" ref="E24" ca="1">_xlfn.STOCKHISTORY(A24,$K$3,$K$3,0,0,1)</f>
        <v>211.71</v>
      </c>
      <c r="F24" s="6">
        <f t="shared" ca="1" si="2"/>
        <v>1058.55</v>
      </c>
      <c r="G24" s="1">
        <v>5</v>
      </c>
      <c r="H24" s="6">
        <f ca="1">ABS(D24-F24)</f>
        <v>43.839761023897381</v>
      </c>
    </row>
    <row r="25" spans="1:8" x14ac:dyDescent="0.35">
      <c r="A25" s="2" t="s">
        <v>25</v>
      </c>
      <c r="B25" s="2">
        <v>1.38E-2</v>
      </c>
      <c r="C25" s="2">
        <f t="shared" si="0"/>
        <v>1.3798620137986198E-2</v>
      </c>
      <c r="D25" s="3">
        <f t="shared" si="1"/>
        <v>1034.896510348965</v>
      </c>
      <c r="E25" s="1" cm="1" vm="24">
        <f t="array" aca="1" ref="E25" ca="1">_xlfn.STOCKHISTORY(A25,$K$3,$K$3,0,0,1)</f>
        <v>379.32</v>
      </c>
      <c r="F25" s="6">
        <f t="shared" ca="1" si="2"/>
        <v>1137.96</v>
      </c>
      <c r="G25" s="1">
        <v>3</v>
      </c>
      <c r="H25" s="6">
        <f ca="1">ABS(D25-F25)</f>
        <v>103.06348965103507</v>
      </c>
    </row>
    <row r="26" spans="1:8" x14ac:dyDescent="0.35">
      <c r="A26" s="2"/>
      <c r="B26" s="2"/>
      <c r="C26" s="2"/>
      <c r="D26" s="3"/>
      <c r="H26" s="6"/>
    </row>
    <row r="27" spans="1:8" x14ac:dyDescent="0.35">
      <c r="B27" s="1">
        <f>SUM(B2:B25)</f>
        <v>1.0001000000000002</v>
      </c>
      <c r="D27" s="3">
        <f>SUM(D2:D25)</f>
        <v>74999.999999999985</v>
      </c>
      <c r="F27" s="7">
        <f ca="1">SUM(F2:F25)</f>
        <v>74988.920000000013</v>
      </c>
      <c r="G27" s="1" t="s">
        <v>32</v>
      </c>
      <c r="H27" s="7">
        <f ca="1">SUM(H2:H25)</f>
        <v>828.86557744226172</v>
      </c>
    </row>
  </sheetData>
  <pageMargins left="0.7" right="0.7" top="0.75" bottom="0.75" header="0.3" footer="0.3"/>
  <ignoredErrors>
    <ignoredError sqref="E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Fernandes</dc:creator>
  <cp:lastModifiedBy>Kevin Fernandes</cp:lastModifiedBy>
  <dcterms:created xsi:type="dcterms:W3CDTF">2026-08-29T23:25:57Z</dcterms:created>
  <dcterms:modified xsi:type="dcterms:W3CDTF">2026-08-30T00:41:48Z</dcterms:modified>
</cp:coreProperties>
</file>