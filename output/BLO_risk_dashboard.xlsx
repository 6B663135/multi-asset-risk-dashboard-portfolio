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a8df5e598afa50/KF/projects/Mutli asset risk dashboard portfolio optimization/multi-asset-risk-dashboard-portfolio/output/"/>
    </mc:Choice>
  </mc:AlternateContent>
  <xr:revisionPtr revIDLastSave="138" documentId="11_D0DA490B8F8326A26DC696AACAB7AB1FB73EA782" xr6:coauthVersionLast="47" xr6:coauthVersionMax="47" xr10:uidLastSave="{216E23F0-0D7C-44AF-BF03-844870064AC5}"/>
  <bookViews>
    <workbookView xWindow="-110" yWindow="-110" windowWidth="19420" windowHeight="11500" firstSheet="18" activeTab="20" xr2:uid="{00000000-000D-0000-FFFF-FFFF00000000}"/>
  </bookViews>
  <sheets>
    <sheet name="Summary Metrics" sheetId="1" r:id="rId1"/>
    <sheet name="Rolling Returns and Volatility" sheetId="2" r:id="rId2"/>
    <sheet name="Rolling Corr. and Track. Error" sheetId="3" r:id="rId3"/>
    <sheet name="Rolling Historical VaR and CVaR" sheetId="4" r:id="rId4"/>
    <sheet name="Rolling Ratios 1" sheetId="5" r:id="rId5"/>
    <sheet name="Rolling Ratios 2" sheetId="6" r:id="rId6"/>
    <sheet name="Rolling Ratio Charts" sheetId="24" r:id="rId7"/>
    <sheet name="Wealth Curves" sheetId="7" r:id="rId8"/>
    <sheet name="Wealth Curves Chart" sheetId="8" r:id="rId9"/>
    <sheet name="Drawdown" sheetId="9" r:id="rId10"/>
    <sheet name="Rolling Drawdown" sheetId="10" r:id="rId11"/>
    <sheet name="Time to Recovery" sheetId="11" r:id="rId12"/>
    <sheet name="Worst Month" sheetId="12" r:id="rId13"/>
    <sheet name="5 Worst Drawdown Periods" sheetId="13" r:id="rId14"/>
    <sheet name="Longest Drawdown Period" sheetId="14" r:id="rId15"/>
    <sheet name="Histogram Data" sheetId="15" r:id="rId16"/>
    <sheet name="Histogram Return Chart" sheetId="16" r:id="rId17"/>
    <sheet name="Q-Q Plot Data" sheetId="17" r:id="rId18"/>
    <sheet name="Q-Q Plot Chart" sheetId="18" r:id="rId19"/>
    <sheet name="Rolling Portfolio Weights" sheetId="19" r:id="rId20"/>
    <sheet name="Final Weight Chart" sheetId="25" r:id="rId21"/>
    <sheet name="Final Risk Contribution" sheetId="20" r:id="rId22"/>
    <sheet name="Final Risk Contribution Chart" sheetId="21" r:id="rId23"/>
    <sheet name="Rolling Beta and Alpha" sheetId="22" r:id="rId24"/>
  </sheets>
  <definedNames>
    <definedName name="_xlchart.v1.0" hidden="1">'Rolling Portfolio Weights'!$B$1:$Y$1</definedName>
    <definedName name="_xlchart.v1.1" hidden="1">'Rolling Portfolio Weights'!$B$67:$Y$67</definedName>
    <definedName name="_xlchart.v1.10" hidden="1">'Rolling Portfolio Weights'!$B$1:$Y$1</definedName>
    <definedName name="_xlchart.v1.11" hidden="1">'Rolling Portfolio Weights'!$B$67:$Y$67</definedName>
    <definedName name="_xlchart.v1.12" hidden="1">'Rolling Portfolio Weights'!$B$1:$Y$1</definedName>
    <definedName name="_xlchart.v1.13" hidden="1">'Rolling Portfolio Weights'!$B$67:$Y$67</definedName>
    <definedName name="_xlchart.v1.14" hidden="1">'Rolling Portfolio Weights'!$B$1:$Y$1</definedName>
    <definedName name="_xlchart.v1.15" hidden="1">'Rolling Portfolio Weights'!$B$67:$Y$67</definedName>
    <definedName name="_xlchart.v1.2" hidden="1">'Rolling Portfolio Weights'!$B$1:$Y$1</definedName>
    <definedName name="_xlchart.v1.3" hidden="1">'Rolling Portfolio Weights'!$B$67:$Y$67</definedName>
    <definedName name="_xlchart.v1.4" hidden="1">'Rolling Portfolio Weights'!$B$1:$Y$1</definedName>
    <definedName name="_xlchart.v1.5" hidden="1">'Rolling Portfolio Weights'!$B$67:$Y$67</definedName>
    <definedName name="_xlchart.v1.6" hidden="1">'Rolling Portfolio Weights'!$B$1:$Y$1</definedName>
    <definedName name="_xlchart.v1.7" hidden="1">'Rolling Portfolio Weights'!$B$67:$Y$67</definedName>
    <definedName name="_xlchart.v1.8" hidden="1">'Rolling Portfolio Weights'!$B$1:$Y$1</definedName>
    <definedName name="_xlchart.v1.9" hidden="1">'Rolling Portfolio Weights'!$B$67:$Y$67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2" i="6"/>
</calcChain>
</file>

<file path=xl/sharedStrings.xml><?xml version="1.0" encoding="utf-8"?>
<sst xmlns="http://schemas.openxmlformats.org/spreadsheetml/2006/main" count="194" uniqueCount="151">
  <si>
    <t>Metric</t>
  </si>
  <si>
    <t>Value</t>
  </si>
  <si>
    <t>Final Cumulative Net Return (%)</t>
  </si>
  <si>
    <t>Final Annualized Return (%)</t>
  </si>
  <si>
    <t>Final Annualized Volatility (%)</t>
  </si>
  <si>
    <t>Final Sharpe Ratio</t>
  </si>
  <si>
    <t>Final Sortino Ratio</t>
  </si>
  <si>
    <t>Historical VaR 95% (%)</t>
  </si>
  <si>
    <t>Historical CVaR 95% (%)</t>
  </si>
  <si>
    <t>Latest Beta</t>
  </si>
  <si>
    <t>Latest Monthly Alpha (%)</t>
  </si>
  <si>
    <t>Latest Annualized Alpha (%)</t>
  </si>
  <si>
    <t>Latest Correlation</t>
  </si>
  <si>
    <t>Latest Tracking Error (%)</t>
  </si>
  <si>
    <t>Latest Information Ratio</t>
  </si>
  <si>
    <t>Latest Up-Capture Ratio (%)</t>
  </si>
  <si>
    <t>Latest Down-Capture Ratio (%)</t>
  </si>
  <si>
    <t>Final Skewness</t>
  </si>
  <si>
    <t>Final Kurtosis</t>
  </si>
  <si>
    <t>Final Excess Kurtosis</t>
  </si>
  <si>
    <t>Final Max Drawdown (%)</t>
  </si>
  <si>
    <t>Final Current Drawdown (%)</t>
  </si>
  <si>
    <t>Final Worst Month Return (%)</t>
  </si>
  <si>
    <t>Final Time to Recovery (Months)</t>
  </si>
  <si>
    <t>Final Longest Drawdown Length (Months)</t>
  </si>
  <si>
    <t>Black-Litterman Portfolio Summary Metrics</t>
  </si>
  <si>
    <t>Rolling Return (%)</t>
  </si>
  <si>
    <t>Rolling Volatility (%)</t>
  </si>
  <si>
    <t>Date</t>
  </si>
  <si>
    <t>Rolling Correlation</t>
  </si>
  <si>
    <t>Rolling Tracking Error (%)</t>
  </si>
  <si>
    <t>Rolling Historical VaR - 95% (%)</t>
  </si>
  <si>
    <t>Rolling Historical CVaR - 95% (%)</t>
  </si>
  <si>
    <t>Rolling Historical VaR - 99% (%)</t>
  </si>
  <si>
    <t>Rolling Historical CVaR - 99% (%)</t>
  </si>
  <si>
    <t>Rolling Sharpe Ratio</t>
  </si>
  <si>
    <t>Rolling Sortino Ratio</t>
  </si>
  <si>
    <t>Rolling Kurtosis</t>
  </si>
  <si>
    <t>Rolling Skewness</t>
  </si>
  <si>
    <t>Rolling Information Ratio</t>
  </si>
  <si>
    <t>Rolling Up-Capture Ratio (%)</t>
  </si>
  <si>
    <t>Rolling Down-Capture Ratio (%)</t>
  </si>
  <si>
    <t>Portfolio Wealth</t>
  </si>
  <si>
    <t>Benchmark Wealth</t>
  </si>
  <si>
    <t>Drawdown (%)</t>
  </si>
  <si>
    <t>Rolling Current Relative Drawdown</t>
  </si>
  <si>
    <t>Rolling Max Relative Drawdown</t>
  </si>
  <si>
    <t>Peak Before Drawdown Date</t>
  </si>
  <si>
    <t>Max Drawdown Date</t>
  </si>
  <si>
    <t>Max Drawdown (%)</t>
  </si>
  <si>
    <t>Recovery Date</t>
  </si>
  <si>
    <t>Time to Recovery (Months)</t>
  </si>
  <si>
    <t>Worst Month Date</t>
  </si>
  <si>
    <t>Worst Month Return (%)</t>
  </si>
  <si>
    <t>Peak Date</t>
  </si>
  <si>
    <t>Trough Date</t>
  </si>
  <si>
    <t>Longest Drawdown Start Date</t>
  </si>
  <si>
    <t>Longest Drawdown End Date</t>
  </si>
  <si>
    <t>Longest Drawdown Duration (Months)</t>
  </si>
  <si>
    <t>Bin Start %</t>
  </si>
  <si>
    <t>Bin End %</t>
  </si>
  <si>
    <t>Count</t>
  </si>
  <si>
    <t>Bin Label</t>
  </si>
  <si>
    <t>-13.91% to -12.85%</t>
  </si>
  <si>
    <t>-12.85% to -11.79%</t>
  </si>
  <si>
    <t>-11.79% to -10.74%</t>
  </si>
  <si>
    <t>-10.74% to -9.68%</t>
  </si>
  <si>
    <t>-9.68% to -8.62%</t>
  </si>
  <si>
    <t>-8.62% to -7.56%</t>
  </si>
  <si>
    <t>-7.56% to -6.50%</t>
  </si>
  <si>
    <t>-6.50% to -5.44%</t>
  </si>
  <si>
    <t>-5.44% to -4.39%</t>
  </si>
  <si>
    <t>-4.39% to -3.33%</t>
  </si>
  <si>
    <t>-3.33% to -2.27%</t>
  </si>
  <si>
    <t>-2.27% to -1.21%</t>
  </si>
  <si>
    <t>-1.21% to -0.15%</t>
  </si>
  <si>
    <t>-0.15% to 0.91%</t>
  </si>
  <si>
    <t>0.91% to 1.96%</t>
  </si>
  <si>
    <t>1.96% to 3.02%</t>
  </si>
  <si>
    <t>3.02% to 4.08%</t>
  </si>
  <si>
    <t>4.08% to 5.14%</t>
  </si>
  <si>
    <t>5.14% to 6.20%</t>
  </si>
  <si>
    <t>6.20% to 7.26%</t>
  </si>
  <si>
    <t>7.26% to 8.32%</t>
  </si>
  <si>
    <t>8.32% to 9.37%</t>
  </si>
  <si>
    <t>9.37% to 10.43%</t>
  </si>
  <si>
    <t>10.43% to 11.49%</t>
  </si>
  <si>
    <t>11.49% to 12.55%</t>
  </si>
  <si>
    <t>12.55% to 13.61%</t>
  </si>
  <si>
    <t>13.61% to 14.67%</t>
  </si>
  <si>
    <t>14.67% to 15.72%</t>
  </si>
  <si>
    <t>15.72% to 16.78%</t>
  </si>
  <si>
    <t>16.78% to 17.84%</t>
  </si>
  <si>
    <t>Theoretical Quantiles</t>
  </si>
  <si>
    <t>Ordered Returns (%)</t>
  </si>
  <si>
    <t>NVDA</t>
  </si>
  <si>
    <t>AVGO</t>
  </si>
  <si>
    <t>MU</t>
  </si>
  <si>
    <t>AMD</t>
  </si>
  <si>
    <t>MRVL</t>
  </si>
  <si>
    <t>MSFT</t>
  </si>
  <si>
    <t>CRWD</t>
  </si>
  <si>
    <t>TEL</t>
  </si>
  <si>
    <t>CDNS</t>
  </si>
  <si>
    <t>CRM</t>
  </si>
  <si>
    <t>NET</t>
  </si>
  <si>
    <t>ADBE</t>
  </si>
  <si>
    <t>NOW</t>
  </si>
  <si>
    <t>EQIX</t>
  </si>
  <si>
    <t>DLR</t>
  </si>
  <si>
    <t>VRT</t>
  </si>
  <si>
    <t>ETN</t>
  </si>
  <si>
    <t>IRM</t>
  </si>
  <si>
    <t>NEE</t>
  </si>
  <si>
    <t>SO</t>
  </si>
  <si>
    <t>SRE</t>
  </si>
  <si>
    <t>LMT</t>
  </si>
  <si>
    <t>RTX</t>
  </si>
  <si>
    <t>GD</t>
  </si>
  <si>
    <t>Asset</t>
  </si>
  <si>
    <t>Weight</t>
  </si>
  <si>
    <t>Marginal Contribution to Risk (%)</t>
  </si>
  <si>
    <t>Component Contribution to Risk (%)</t>
  </si>
  <si>
    <t>% Contribution to Volatility</t>
  </si>
  <si>
    <t>NVDA_Return</t>
  </si>
  <si>
    <t>AVGO_Return</t>
  </si>
  <si>
    <t>LMT_Return</t>
  </si>
  <si>
    <t>AMD_Return</t>
  </si>
  <si>
    <t>MSFT_Return</t>
  </si>
  <si>
    <t>TEL_Return</t>
  </si>
  <si>
    <t>NET_Return</t>
  </si>
  <si>
    <t>NOW_Return</t>
  </si>
  <si>
    <t>DLR_Return</t>
  </si>
  <si>
    <t>RTX_Return</t>
  </si>
  <si>
    <t>GD_Return</t>
  </si>
  <si>
    <t>ADBE_Return</t>
  </si>
  <si>
    <t>SRE_Return</t>
  </si>
  <si>
    <t>MU_Return</t>
  </si>
  <si>
    <t>VRT_Return</t>
  </si>
  <si>
    <t>MRVL_Return</t>
  </si>
  <si>
    <t>IRM_Return</t>
  </si>
  <si>
    <t>CRWD_Return</t>
  </si>
  <si>
    <t>CRM_Return</t>
  </si>
  <si>
    <t>CDNS_Return</t>
  </si>
  <si>
    <t>EQIX_Return</t>
  </si>
  <si>
    <t>ETN_Return</t>
  </si>
  <si>
    <t>NEE_Return</t>
  </si>
  <si>
    <t>SO_Return</t>
  </si>
  <si>
    <t>Rolling Beta</t>
  </si>
  <si>
    <t>Rolling Alpha - Monthly (%)</t>
  </si>
  <si>
    <t>Rolling Alpha - Annualized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</si>
</sst>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0.0000"/>
    <numFmt numFmtId="166" formatCode="yyyy/mm/dd\ 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'Rolling Ratios 1'!$B$1</c:f>
              <c:strCache>
                <c:ptCount val="1"/>
                <c:pt idx="0">
                  <c:v>Rolling Sharpe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'Rolling Ratios 1'!$A$2:$A$54</c:f>
              <c:numCache>
                <c:formatCode>m/d/yyyy</c:formatCode>
                <c:ptCount val="53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44680</c:v>
                </c:pt>
                <c:pt idx="5">
                  <c:v>44712</c:v>
                </c:pt>
                <c:pt idx="6">
                  <c:v>44742</c:v>
                </c:pt>
                <c:pt idx="7">
                  <c:v>44771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  <c:pt idx="12">
                  <c:v>44925</c:v>
                </c:pt>
                <c:pt idx="13">
                  <c:v>44957</c:v>
                </c:pt>
                <c:pt idx="14">
                  <c:v>44985</c:v>
                </c:pt>
                <c:pt idx="15">
                  <c:v>45016</c:v>
                </c:pt>
                <c:pt idx="16">
                  <c:v>45044</c:v>
                </c:pt>
                <c:pt idx="17">
                  <c:v>45077</c:v>
                </c:pt>
                <c:pt idx="18">
                  <c:v>45107</c:v>
                </c:pt>
                <c:pt idx="19">
                  <c:v>45138</c:v>
                </c:pt>
                <c:pt idx="20">
                  <c:v>45169</c:v>
                </c:pt>
                <c:pt idx="21">
                  <c:v>45198</c:v>
                </c:pt>
                <c:pt idx="22">
                  <c:v>45230</c:v>
                </c:pt>
                <c:pt idx="23">
                  <c:v>45260</c:v>
                </c:pt>
                <c:pt idx="24">
                  <c:v>45289</c:v>
                </c:pt>
                <c:pt idx="25">
                  <c:v>45322</c:v>
                </c:pt>
                <c:pt idx="26">
                  <c:v>45351</c:v>
                </c:pt>
                <c:pt idx="27">
                  <c:v>45379</c:v>
                </c:pt>
                <c:pt idx="28">
                  <c:v>45412</c:v>
                </c:pt>
                <c:pt idx="29">
                  <c:v>45443</c:v>
                </c:pt>
                <c:pt idx="30">
                  <c:v>45471</c:v>
                </c:pt>
                <c:pt idx="31">
                  <c:v>45504</c:v>
                </c:pt>
                <c:pt idx="32">
                  <c:v>45534</c:v>
                </c:pt>
                <c:pt idx="33">
                  <c:v>45596</c:v>
                </c:pt>
                <c:pt idx="34">
                  <c:v>45625</c:v>
                </c:pt>
                <c:pt idx="35">
                  <c:v>45657</c:v>
                </c:pt>
                <c:pt idx="36">
                  <c:v>45688</c:v>
                </c:pt>
                <c:pt idx="37">
                  <c:v>45716</c:v>
                </c:pt>
                <c:pt idx="38">
                  <c:v>45747</c:v>
                </c:pt>
                <c:pt idx="39">
                  <c:v>45777</c:v>
                </c:pt>
                <c:pt idx="40">
                  <c:v>45807</c:v>
                </c:pt>
                <c:pt idx="41">
                  <c:v>45838</c:v>
                </c:pt>
                <c:pt idx="42">
                  <c:v>45869</c:v>
                </c:pt>
                <c:pt idx="43">
                  <c:v>45898</c:v>
                </c:pt>
                <c:pt idx="44">
                  <c:v>45930</c:v>
                </c:pt>
                <c:pt idx="45">
                  <c:v>45961</c:v>
                </c:pt>
                <c:pt idx="46">
                  <c:v>45989</c:v>
                </c:pt>
                <c:pt idx="47">
                  <c:v>46022</c:v>
                </c:pt>
                <c:pt idx="48">
                  <c:v>46052</c:v>
                </c:pt>
                <c:pt idx="49">
                  <c:v>46080</c:v>
                </c:pt>
                <c:pt idx="50">
                  <c:v>46112</c:v>
                </c:pt>
                <c:pt idx="51">
                  <c:v>46142</c:v>
                </c:pt>
                <c:pt idx="52">
                  <c:v>46171</c:v>
                </c:pt>
              </c:numCache>
            </c:numRef>
          </c:cat>
          <c:val>
            <c:numRef>
              <c:f>'Rolling Ratios 1'!$B$2:$B$54</c:f>
              <c:numCache>
                <c:formatCode>General</c:formatCode>
                <c:ptCount val="53"/>
                <c:pt idx="0">
                  <c:v>2.696397208668043</c:v>
                </c:pt>
                <c:pt idx="1">
                  <c:v>2.2993418737300262</c:v>
                </c:pt>
                <c:pt idx="2">
                  <c:v>2.4754417971517748</c:v>
                </c:pt>
                <c:pt idx="3">
                  <c:v>2.4848470954802551</c:v>
                </c:pt>
                <c:pt idx="4">
                  <c:v>0.74007746353174619</c:v>
                </c:pt>
                <c:pt idx="5">
                  <c:v>0.68244777158183811</c:v>
                </c:pt>
                <c:pt idx="6">
                  <c:v>-0.18546262714603709</c:v>
                </c:pt>
                <c:pt idx="7">
                  <c:v>7.559187035691424E-2</c:v>
                </c:pt>
                <c:pt idx="8">
                  <c:v>-0.39293943595018133</c:v>
                </c:pt>
                <c:pt idx="9">
                  <c:v>-0.6252061096104875</c:v>
                </c:pt>
                <c:pt idx="10">
                  <c:v>-0.33919935217362779</c:v>
                </c:pt>
                <c:pt idx="11">
                  <c:v>-0.26017665551240998</c:v>
                </c:pt>
                <c:pt idx="12">
                  <c:v>-0.41710275896767429</c:v>
                </c:pt>
                <c:pt idx="13">
                  <c:v>-8.9627562441650325E-3</c:v>
                </c:pt>
                <c:pt idx="14">
                  <c:v>0.1083347525260577</c:v>
                </c:pt>
                <c:pt idx="15">
                  <c:v>0.20679352821047839</c:v>
                </c:pt>
                <c:pt idx="16">
                  <c:v>0.59893309450639343</c:v>
                </c:pt>
                <c:pt idx="17">
                  <c:v>0.86531250850005492</c:v>
                </c:pt>
                <c:pt idx="18">
                  <c:v>1.730113964124194</c:v>
                </c:pt>
                <c:pt idx="19">
                  <c:v>1.4489717297992</c:v>
                </c:pt>
                <c:pt idx="20">
                  <c:v>1.962634914932418</c:v>
                </c:pt>
                <c:pt idx="21">
                  <c:v>2.6202606176003358</c:v>
                </c:pt>
                <c:pt idx="22">
                  <c:v>2.16313080657237</c:v>
                </c:pt>
                <c:pt idx="23">
                  <c:v>2.031768658213251</c:v>
                </c:pt>
                <c:pt idx="24">
                  <c:v>3.1487688713068391</c:v>
                </c:pt>
                <c:pt idx="25">
                  <c:v>2.9130056403364581</c:v>
                </c:pt>
                <c:pt idx="26">
                  <c:v>2.896997225020848</c:v>
                </c:pt>
                <c:pt idx="27">
                  <c:v>2.8268151354081761</c:v>
                </c:pt>
                <c:pt idx="28">
                  <c:v>2.7419360424108872</c:v>
                </c:pt>
                <c:pt idx="29">
                  <c:v>2.7171205880351419</c:v>
                </c:pt>
                <c:pt idx="30">
                  <c:v>2.5547962372752711</c:v>
                </c:pt>
                <c:pt idx="31">
                  <c:v>2.820488738692104</c:v>
                </c:pt>
                <c:pt idx="32">
                  <c:v>3.101255200081193</c:v>
                </c:pt>
                <c:pt idx="33">
                  <c:v>5.2404762410872108</c:v>
                </c:pt>
                <c:pt idx="34">
                  <c:v>4.2658238606645806</c:v>
                </c:pt>
                <c:pt idx="35">
                  <c:v>2.7954112279821581</c:v>
                </c:pt>
                <c:pt idx="36">
                  <c:v>1.79376485838705</c:v>
                </c:pt>
                <c:pt idx="37">
                  <c:v>1.2485255033102749</c:v>
                </c:pt>
                <c:pt idx="38">
                  <c:v>0.24751091751295029</c:v>
                </c:pt>
                <c:pt idx="39">
                  <c:v>0.57009376235861875</c:v>
                </c:pt>
                <c:pt idx="40">
                  <c:v>0.65303835998295712</c:v>
                </c:pt>
                <c:pt idx="41">
                  <c:v>0.72575859385009001</c:v>
                </c:pt>
                <c:pt idx="42">
                  <c:v>0.55809510147000774</c:v>
                </c:pt>
                <c:pt idx="43">
                  <c:v>0.51361377227373939</c:v>
                </c:pt>
                <c:pt idx="44">
                  <c:v>0.82215106728261722</c:v>
                </c:pt>
                <c:pt idx="45">
                  <c:v>1.234936499344891</c:v>
                </c:pt>
                <c:pt idx="46">
                  <c:v>0.64200953235959879</c:v>
                </c:pt>
                <c:pt idx="47">
                  <c:v>1.1260282303631279</c:v>
                </c:pt>
                <c:pt idx="48">
                  <c:v>2.0406467434729749</c:v>
                </c:pt>
                <c:pt idx="49">
                  <c:v>1.959726766631755</c:v>
                </c:pt>
                <c:pt idx="50">
                  <c:v>2.1612614579969902</c:v>
                </c:pt>
                <c:pt idx="51">
                  <c:v>2.328006909730802</c:v>
                </c:pt>
                <c:pt idx="52">
                  <c:v>2.162540351950895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4B-4A9E-8313-FAAB54836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0046768"/>
        <c:axId val="1430679248"/>
      </c:lineChart>
      <c:dateAx>
        <c:axId val="147004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End-month</a:t>
                </a:r>
                <a:r>
                  <a:rPr lang="en-GB" baseline="0"/>
                  <a:t> of rolling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79248"/>
        <c:crosses val="autoZero"/>
        <c:auto val="1"/>
        <c:lblOffset val="100"/>
        <c:baseTimeUnit val="months"/>
      </c:dateAx>
      <c:valAx>
        <c:axId val="143067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Sharpe</a:t>
                </a:r>
                <a:r>
                  <a:rPr lang="en-GB" baseline="0"/>
                  <a:t> Ratio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04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'Rolling Ratios 1'!$C$1</c:f>
              <c:strCache>
                <c:ptCount val="1"/>
                <c:pt idx="0">
                  <c:v>Rolling Sortino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'Rolling Ratios 1'!$A$2:$A$54</c:f>
              <c:numCache>
                <c:formatCode>m/d/yyyy</c:formatCode>
                <c:ptCount val="53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44680</c:v>
                </c:pt>
                <c:pt idx="5">
                  <c:v>44712</c:v>
                </c:pt>
                <c:pt idx="6">
                  <c:v>44742</c:v>
                </c:pt>
                <c:pt idx="7">
                  <c:v>44771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  <c:pt idx="12">
                  <c:v>44925</c:v>
                </c:pt>
                <c:pt idx="13">
                  <c:v>44957</c:v>
                </c:pt>
                <c:pt idx="14">
                  <c:v>44985</c:v>
                </c:pt>
                <c:pt idx="15">
                  <c:v>45016</c:v>
                </c:pt>
                <c:pt idx="16">
                  <c:v>45044</c:v>
                </c:pt>
                <c:pt idx="17">
                  <c:v>45077</c:v>
                </c:pt>
                <c:pt idx="18">
                  <c:v>45107</c:v>
                </c:pt>
                <c:pt idx="19">
                  <c:v>45138</c:v>
                </c:pt>
                <c:pt idx="20">
                  <c:v>45169</c:v>
                </c:pt>
                <c:pt idx="21">
                  <c:v>45198</c:v>
                </c:pt>
                <c:pt idx="22">
                  <c:v>45230</c:v>
                </c:pt>
                <c:pt idx="23">
                  <c:v>45260</c:v>
                </c:pt>
                <c:pt idx="24">
                  <c:v>45289</c:v>
                </c:pt>
                <c:pt idx="25">
                  <c:v>45322</c:v>
                </c:pt>
                <c:pt idx="26">
                  <c:v>45351</c:v>
                </c:pt>
                <c:pt idx="27">
                  <c:v>45379</c:v>
                </c:pt>
                <c:pt idx="28">
                  <c:v>45412</c:v>
                </c:pt>
                <c:pt idx="29">
                  <c:v>45443</c:v>
                </c:pt>
                <c:pt idx="30">
                  <c:v>45471</c:v>
                </c:pt>
                <c:pt idx="31">
                  <c:v>45504</c:v>
                </c:pt>
                <c:pt idx="32">
                  <c:v>45534</c:v>
                </c:pt>
                <c:pt idx="33">
                  <c:v>45596</c:v>
                </c:pt>
                <c:pt idx="34">
                  <c:v>45625</c:v>
                </c:pt>
                <c:pt idx="35">
                  <c:v>45657</c:v>
                </c:pt>
                <c:pt idx="36">
                  <c:v>45688</c:v>
                </c:pt>
                <c:pt idx="37">
                  <c:v>45716</c:v>
                </c:pt>
                <c:pt idx="38">
                  <c:v>45747</c:v>
                </c:pt>
                <c:pt idx="39">
                  <c:v>45777</c:v>
                </c:pt>
                <c:pt idx="40">
                  <c:v>45807</c:v>
                </c:pt>
                <c:pt idx="41">
                  <c:v>45838</c:v>
                </c:pt>
                <c:pt idx="42">
                  <c:v>45869</c:v>
                </c:pt>
                <c:pt idx="43">
                  <c:v>45898</c:v>
                </c:pt>
                <c:pt idx="44">
                  <c:v>45930</c:v>
                </c:pt>
                <c:pt idx="45">
                  <c:v>45961</c:v>
                </c:pt>
                <c:pt idx="46">
                  <c:v>45989</c:v>
                </c:pt>
                <c:pt idx="47">
                  <c:v>46022</c:v>
                </c:pt>
                <c:pt idx="48">
                  <c:v>46052</c:v>
                </c:pt>
                <c:pt idx="49">
                  <c:v>46080</c:v>
                </c:pt>
                <c:pt idx="50">
                  <c:v>46112</c:v>
                </c:pt>
                <c:pt idx="51">
                  <c:v>46142</c:v>
                </c:pt>
                <c:pt idx="52">
                  <c:v>46171</c:v>
                </c:pt>
              </c:numCache>
            </c:numRef>
          </c:cat>
          <c:val>
            <c:numRef>
              <c:f>'Rolling Ratios 1'!$C$2:$C$54</c:f>
              <c:numCache>
                <c:formatCode>General</c:formatCode>
                <c:ptCount val="53"/>
                <c:pt idx="0">
                  <c:v>6.7577264257891239</c:v>
                </c:pt>
                <c:pt idx="1">
                  <c:v>18.253818638294611</c:v>
                </c:pt>
                <c:pt idx="2">
                  <c:v>19.830589920463439</c:v>
                </c:pt>
                <c:pt idx="3">
                  <c:v>19.926993442807522</c:v>
                </c:pt>
                <c:pt idx="4">
                  <c:v>1.5250330894126991</c:v>
                </c:pt>
                <c:pt idx="5">
                  <c:v>1.4047939271096319</c:v>
                </c:pt>
                <c:pt idx="6">
                  <c:v>-0.44061726245440602</c:v>
                </c:pt>
                <c:pt idx="7">
                  <c:v>0.19091649530665961</c:v>
                </c:pt>
                <c:pt idx="8">
                  <c:v>-1.1181116707464629</c:v>
                </c:pt>
                <c:pt idx="9">
                  <c:v>-1.0943600879138899</c:v>
                </c:pt>
                <c:pt idx="10">
                  <c:v>-0.69042906773216817</c:v>
                </c:pt>
                <c:pt idx="11">
                  <c:v>-0.54486198098757266</c:v>
                </c:pt>
                <c:pt idx="12">
                  <c:v>-1.275567432395063</c:v>
                </c:pt>
                <c:pt idx="13">
                  <c:v>-3.1237731599016529E-2</c:v>
                </c:pt>
                <c:pt idx="14">
                  <c:v>0.38699726869470508</c:v>
                </c:pt>
                <c:pt idx="15">
                  <c:v>0.74835514917758528</c:v>
                </c:pt>
                <c:pt idx="16">
                  <c:v>1.3852723102989011</c:v>
                </c:pt>
                <c:pt idx="17">
                  <c:v>2.0518650034987251</c:v>
                </c:pt>
                <c:pt idx="18">
                  <c:v>3.5228632150487309</c:v>
                </c:pt>
                <c:pt idx="19">
                  <c:v>2.9329294811215521</c:v>
                </c:pt>
                <c:pt idx="20">
                  <c:v>3.2194788202537739</c:v>
                </c:pt>
                <c:pt idx="21">
                  <c:v>6.7755629985512744</c:v>
                </c:pt>
                <c:pt idx="22">
                  <c:v>4.7983376163811347</c:v>
                </c:pt>
                <c:pt idx="23">
                  <c:v>4.3105004009003043</c:v>
                </c:pt>
                <c:pt idx="24">
                  <c:v>4.8901277002884278</c:v>
                </c:pt>
                <c:pt idx="25">
                  <c:v>4.2275267583672189</c:v>
                </c:pt>
                <c:pt idx="26">
                  <c:v>4.1619365439347202</c:v>
                </c:pt>
                <c:pt idx="27">
                  <c:v>4.0034698555012858</c:v>
                </c:pt>
                <c:pt idx="28">
                  <c:v>4.2989152799310064</c:v>
                </c:pt>
                <c:pt idx="29">
                  <c:v>4.1494403775094062</c:v>
                </c:pt>
                <c:pt idx="30">
                  <c:v>3.8268586206300008</c:v>
                </c:pt>
                <c:pt idx="31">
                  <c:v>4.2183985302747731</c:v>
                </c:pt>
                <c:pt idx="32">
                  <c:v>4.5558105217500167</c:v>
                </c:pt>
                <c:pt idx="33">
                  <c:v>52.906457651402079</c:v>
                </c:pt>
                <c:pt idx="34">
                  <c:v>18.142336873811988</c:v>
                </c:pt>
                <c:pt idx="35">
                  <c:v>9.9243675082432041</c:v>
                </c:pt>
                <c:pt idx="36">
                  <c:v>6.6897480696677691</c:v>
                </c:pt>
                <c:pt idx="37">
                  <c:v>3.3190657718126491</c:v>
                </c:pt>
                <c:pt idx="38">
                  <c:v>0.51945459600817123</c:v>
                </c:pt>
                <c:pt idx="39">
                  <c:v>1.1116184938291369</c:v>
                </c:pt>
                <c:pt idx="40">
                  <c:v>1.3930554143645411</c:v>
                </c:pt>
                <c:pt idx="41">
                  <c:v>1.5809014087372719</c:v>
                </c:pt>
                <c:pt idx="42">
                  <c:v>1.182325458670449</c:v>
                </c:pt>
                <c:pt idx="43">
                  <c:v>1.081373633956475</c:v>
                </c:pt>
                <c:pt idx="44">
                  <c:v>1.87804333462394</c:v>
                </c:pt>
                <c:pt idx="45">
                  <c:v>2.8114542237239419</c:v>
                </c:pt>
                <c:pt idx="46">
                  <c:v>1.470690662998505</c:v>
                </c:pt>
                <c:pt idx="47">
                  <c:v>2.226293866410114</c:v>
                </c:pt>
                <c:pt idx="48">
                  <c:v>3.818560972674371</c:v>
                </c:pt>
                <c:pt idx="49">
                  <c:v>4.279842962800366</c:v>
                </c:pt>
                <c:pt idx="50">
                  <c:v>4.8677539298998092</c:v>
                </c:pt>
                <c:pt idx="51">
                  <c:v>5.2616883073772929</c:v>
                </c:pt>
                <c:pt idx="52">
                  <c:v>4.523841136466995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10-4EA3-9555-F4DDB6CF7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8558848"/>
        <c:axId val="1430791088"/>
      </c:lineChart>
      <c:dateAx>
        <c:axId val="15985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End-mont</a:t>
                </a:r>
                <a:r>
                  <a:rPr lang="en-GB" baseline="0"/>
                  <a:t>h of Rolling Period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791088"/>
        <c:crosses val="autoZero"/>
        <c:auto val="1"/>
        <c:lblOffset val="100"/>
        <c:baseTimeUnit val="months"/>
      </c:dateAx>
      <c:valAx>
        <c:axId val="143079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Sortino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5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Rolling Skewness and Kurtosis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'Rolling Ratios 1'!$D$1</c:f>
              <c:strCache>
                <c:ptCount val="1"/>
                <c:pt idx="0">
                  <c:v>Rolling Kurtosis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'Rolling Ratios 1'!$A$2:$A$54</c:f>
              <c:numCache>
                <c:formatCode>m/d/yyyy</c:formatCode>
                <c:ptCount val="53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44680</c:v>
                </c:pt>
                <c:pt idx="5">
                  <c:v>44712</c:v>
                </c:pt>
                <c:pt idx="6">
                  <c:v>44742</c:v>
                </c:pt>
                <c:pt idx="7">
                  <c:v>44771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  <c:pt idx="12">
                  <c:v>44925</c:v>
                </c:pt>
                <c:pt idx="13">
                  <c:v>44957</c:v>
                </c:pt>
                <c:pt idx="14">
                  <c:v>44985</c:v>
                </c:pt>
                <c:pt idx="15">
                  <c:v>45016</c:v>
                </c:pt>
                <c:pt idx="16">
                  <c:v>45044</c:v>
                </c:pt>
                <c:pt idx="17">
                  <c:v>45077</c:v>
                </c:pt>
                <c:pt idx="18">
                  <c:v>45107</c:v>
                </c:pt>
                <c:pt idx="19">
                  <c:v>45138</c:v>
                </c:pt>
                <c:pt idx="20">
                  <c:v>45169</c:v>
                </c:pt>
                <c:pt idx="21">
                  <c:v>45198</c:v>
                </c:pt>
                <c:pt idx="22">
                  <c:v>45230</c:v>
                </c:pt>
                <c:pt idx="23">
                  <c:v>45260</c:v>
                </c:pt>
                <c:pt idx="24">
                  <c:v>45289</c:v>
                </c:pt>
                <c:pt idx="25">
                  <c:v>45322</c:v>
                </c:pt>
                <c:pt idx="26">
                  <c:v>45351</c:v>
                </c:pt>
                <c:pt idx="27">
                  <c:v>45379</c:v>
                </c:pt>
                <c:pt idx="28">
                  <c:v>45412</c:v>
                </c:pt>
                <c:pt idx="29">
                  <c:v>45443</c:v>
                </c:pt>
                <c:pt idx="30">
                  <c:v>45471</c:v>
                </c:pt>
                <c:pt idx="31">
                  <c:v>45504</c:v>
                </c:pt>
                <c:pt idx="32">
                  <c:v>45534</c:v>
                </c:pt>
                <c:pt idx="33">
                  <c:v>45596</c:v>
                </c:pt>
                <c:pt idx="34">
                  <c:v>45625</c:v>
                </c:pt>
                <c:pt idx="35">
                  <c:v>45657</c:v>
                </c:pt>
                <c:pt idx="36">
                  <c:v>45688</c:v>
                </c:pt>
                <c:pt idx="37">
                  <c:v>45716</c:v>
                </c:pt>
                <c:pt idx="38">
                  <c:v>45747</c:v>
                </c:pt>
                <c:pt idx="39">
                  <c:v>45777</c:v>
                </c:pt>
                <c:pt idx="40">
                  <c:v>45807</c:v>
                </c:pt>
                <c:pt idx="41">
                  <c:v>45838</c:v>
                </c:pt>
                <c:pt idx="42">
                  <c:v>45869</c:v>
                </c:pt>
                <c:pt idx="43">
                  <c:v>45898</c:v>
                </c:pt>
                <c:pt idx="44">
                  <c:v>45930</c:v>
                </c:pt>
                <c:pt idx="45">
                  <c:v>45961</c:v>
                </c:pt>
                <c:pt idx="46">
                  <c:v>45989</c:v>
                </c:pt>
                <c:pt idx="47">
                  <c:v>46022</c:v>
                </c:pt>
                <c:pt idx="48">
                  <c:v>46052</c:v>
                </c:pt>
                <c:pt idx="49">
                  <c:v>46080</c:v>
                </c:pt>
                <c:pt idx="50">
                  <c:v>46112</c:v>
                </c:pt>
                <c:pt idx="51">
                  <c:v>46142</c:v>
                </c:pt>
                <c:pt idx="52">
                  <c:v>46171</c:v>
                </c:pt>
              </c:numCache>
            </c:numRef>
          </c:cat>
          <c:val>
            <c:numRef>
              <c:f>'Rolling Ratios 1'!$D$2:$D$54</c:f>
              <c:numCache>
                <c:formatCode>General</c:formatCode>
                <c:ptCount val="53"/>
                <c:pt idx="0">
                  <c:v>2.6166277032011358</c:v>
                </c:pt>
                <c:pt idx="1">
                  <c:v>2.465533510297421</c:v>
                </c:pt>
                <c:pt idx="2">
                  <c:v>2.518911472406645</c:v>
                </c:pt>
                <c:pt idx="3">
                  <c:v>2.5271193605110209</c:v>
                </c:pt>
                <c:pt idx="4">
                  <c:v>2.751661030677202</c:v>
                </c:pt>
                <c:pt idx="5">
                  <c:v>2.7244199495169781</c:v>
                </c:pt>
                <c:pt idx="6">
                  <c:v>1.999722515368777</c:v>
                </c:pt>
                <c:pt idx="7">
                  <c:v>1.8988192792021159</c:v>
                </c:pt>
                <c:pt idx="8">
                  <c:v>1.5881151828187481</c:v>
                </c:pt>
                <c:pt idx="9">
                  <c:v>1.589838367852124</c:v>
                </c:pt>
                <c:pt idx="10">
                  <c:v>2.1547464399781728</c:v>
                </c:pt>
                <c:pt idx="11">
                  <c:v>2.0236045276554799</c:v>
                </c:pt>
                <c:pt idx="12">
                  <c:v>1.972636796620771</c:v>
                </c:pt>
                <c:pt idx="13">
                  <c:v>1.713027257541051</c:v>
                </c:pt>
                <c:pt idx="14">
                  <c:v>1.5979274792282061</c:v>
                </c:pt>
                <c:pt idx="15">
                  <c:v>1.5386998971780801</c:v>
                </c:pt>
                <c:pt idx="16">
                  <c:v>1.8000114870078781</c:v>
                </c:pt>
                <c:pt idx="17">
                  <c:v>1.744450157715048</c:v>
                </c:pt>
                <c:pt idx="18">
                  <c:v>2.3743883974668241</c:v>
                </c:pt>
                <c:pt idx="19">
                  <c:v>2.280299616420411</c:v>
                </c:pt>
                <c:pt idx="20">
                  <c:v>2.892769219431583</c:v>
                </c:pt>
                <c:pt idx="21">
                  <c:v>2.1840362905557398</c:v>
                </c:pt>
                <c:pt idx="22">
                  <c:v>2.1001865005877889</c:v>
                </c:pt>
                <c:pt idx="23">
                  <c:v>2.2123419846257422</c:v>
                </c:pt>
                <c:pt idx="24">
                  <c:v>3.2762774464677209</c:v>
                </c:pt>
                <c:pt idx="25">
                  <c:v>3.6262327042143312</c:v>
                </c:pt>
                <c:pt idx="26">
                  <c:v>3.687430431970097</c:v>
                </c:pt>
                <c:pt idx="27">
                  <c:v>3.7785406286608541</c:v>
                </c:pt>
                <c:pt idx="28">
                  <c:v>3.6190214583995819</c:v>
                </c:pt>
                <c:pt idx="29">
                  <c:v>3.754065447751783</c:v>
                </c:pt>
                <c:pt idx="30">
                  <c:v>3.8183111631508928</c:v>
                </c:pt>
                <c:pt idx="31">
                  <c:v>4.1017247626603952</c:v>
                </c:pt>
                <c:pt idx="32">
                  <c:v>4.6322964735741916</c:v>
                </c:pt>
                <c:pt idx="33">
                  <c:v>2.4209168385621931</c:v>
                </c:pt>
                <c:pt idx="34">
                  <c:v>2.131454368213741</c:v>
                </c:pt>
                <c:pt idx="35">
                  <c:v>1.999163516446435</c:v>
                </c:pt>
                <c:pt idx="36">
                  <c:v>1.811683771197875</c:v>
                </c:pt>
                <c:pt idx="37">
                  <c:v>2.0871182929741661</c:v>
                </c:pt>
                <c:pt idx="38">
                  <c:v>2.414042527438514</c:v>
                </c:pt>
                <c:pt idx="39">
                  <c:v>2.407050716024461</c:v>
                </c:pt>
                <c:pt idx="40">
                  <c:v>2.9933302350481732</c:v>
                </c:pt>
                <c:pt idx="41">
                  <c:v>2.7692243712417288</c:v>
                </c:pt>
                <c:pt idx="42">
                  <c:v>3.1488323051730238</c:v>
                </c:pt>
                <c:pt idx="43">
                  <c:v>3.261490838698915</c:v>
                </c:pt>
                <c:pt idx="44">
                  <c:v>2.4769575389757792</c:v>
                </c:pt>
                <c:pt idx="45">
                  <c:v>2.3086211318641099</c:v>
                </c:pt>
                <c:pt idx="46">
                  <c:v>2.0206645685235478</c:v>
                </c:pt>
                <c:pt idx="47">
                  <c:v>2.3053287576327119</c:v>
                </c:pt>
                <c:pt idx="48">
                  <c:v>2.518576496493973</c:v>
                </c:pt>
                <c:pt idx="49">
                  <c:v>2.4335638698800879</c:v>
                </c:pt>
                <c:pt idx="50">
                  <c:v>2.4708333503215538</c:v>
                </c:pt>
                <c:pt idx="51">
                  <c:v>2.4699739152328299</c:v>
                </c:pt>
                <c:pt idx="52">
                  <c:v>2.8116629133824591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F4-46D8-A7A8-C3B66EF98308}"/>
            </c:ext>
          </c:extLst>
        </c:ser>
        <c:ser>
          <c:idx val="1"/>
          <c:order val="1"/>
          <c:tx>
            <c:strRef>
              <c:f>'Rolling Ratios 1'!$E$1</c:f>
              <c:strCache>
                <c:ptCount val="1"/>
                <c:pt idx="0">
                  <c:v>Rolling Skewness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'Rolling Ratios 1'!$A$2:$A$54</c:f>
              <c:numCache>
                <c:formatCode>m/d/yyyy</c:formatCode>
                <c:ptCount val="53"/>
                <c:pt idx="0">
                  <c:v>44561</c:v>
                </c:pt>
                <c:pt idx="1">
                  <c:v>44592</c:v>
                </c:pt>
                <c:pt idx="2">
                  <c:v>44620</c:v>
                </c:pt>
                <c:pt idx="3">
                  <c:v>44651</c:v>
                </c:pt>
                <c:pt idx="4">
                  <c:v>44680</c:v>
                </c:pt>
                <c:pt idx="5">
                  <c:v>44712</c:v>
                </c:pt>
                <c:pt idx="6">
                  <c:v>44742</c:v>
                </c:pt>
                <c:pt idx="7">
                  <c:v>44771</c:v>
                </c:pt>
                <c:pt idx="8">
                  <c:v>44804</c:v>
                </c:pt>
                <c:pt idx="9">
                  <c:v>44834</c:v>
                </c:pt>
                <c:pt idx="10">
                  <c:v>44865</c:v>
                </c:pt>
                <c:pt idx="11">
                  <c:v>44895</c:v>
                </c:pt>
                <c:pt idx="12">
                  <c:v>44925</c:v>
                </c:pt>
                <c:pt idx="13">
                  <c:v>44957</c:v>
                </c:pt>
                <c:pt idx="14">
                  <c:v>44985</c:v>
                </c:pt>
                <c:pt idx="15">
                  <c:v>45016</c:v>
                </c:pt>
                <c:pt idx="16">
                  <c:v>45044</c:v>
                </c:pt>
                <c:pt idx="17">
                  <c:v>45077</c:v>
                </c:pt>
                <c:pt idx="18">
                  <c:v>45107</c:v>
                </c:pt>
                <c:pt idx="19">
                  <c:v>45138</c:v>
                </c:pt>
                <c:pt idx="20">
                  <c:v>45169</c:v>
                </c:pt>
                <c:pt idx="21">
                  <c:v>45198</c:v>
                </c:pt>
                <c:pt idx="22">
                  <c:v>45230</c:v>
                </c:pt>
                <c:pt idx="23">
                  <c:v>45260</c:v>
                </c:pt>
                <c:pt idx="24">
                  <c:v>45289</c:v>
                </c:pt>
                <c:pt idx="25">
                  <c:v>45322</c:v>
                </c:pt>
                <c:pt idx="26">
                  <c:v>45351</c:v>
                </c:pt>
                <c:pt idx="27">
                  <c:v>45379</c:v>
                </c:pt>
                <c:pt idx="28">
                  <c:v>45412</c:v>
                </c:pt>
                <c:pt idx="29">
                  <c:v>45443</c:v>
                </c:pt>
                <c:pt idx="30">
                  <c:v>45471</c:v>
                </c:pt>
                <c:pt idx="31">
                  <c:v>45504</c:v>
                </c:pt>
                <c:pt idx="32">
                  <c:v>45534</c:v>
                </c:pt>
                <c:pt idx="33">
                  <c:v>45596</c:v>
                </c:pt>
                <c:pt idx="34">
                  <c:v>45625</c:v>
                </c:pt>
                <c:pt idx="35">
                  <c:v>45657</c:v>
                </c:pt>
                <c:pt idx="36">
                  <c:v>45688</c:v>
                </c:pt>
                <c:pt idx="37">
                  <c:v>45716</c:v>
                </c:pt>
                <c:pt idx="38">
                  <c:v>45747</c:v>
                </c:pt>
                <c:pt idx="39">
                  <c:v>45777</c:v>
                </c:pt>
                <c:pt idx="40">
                  <c:v>45807</c:v>
                </c:pt>
                <c:pt idx="41">
                  <c:v>45838</c:v>
                </c:pt>
                <c:pt idx="42">
                  <c:v>45869</c:v>
                </c:pt>
                <c:pt idx="43">
                  <c:v>45898</c:v>
                </c:pt>
                <c:pt idx="44">
                  <c:v>45930</c:v>
                </c:pt>
                <c:pt idx="45">
                  <c:v>45961</c:v>
                </c:pt>
                <c:pt idx="46">
                  <c:v>45989</c:v>
                </c:pt>
                <c:pt idx="47">
                  <c:v>46022</c:v>
                </c:pt>
                <c:pt idx="48">
                  <c:v>46052</c:v>
                </c:pt>
                <c:pt idx="49">
                  <c:v>46080</c:v>
                </c:pt>
                <c:pt idx="50">
                  <c:v>46112</c:v>
                </c:pt>
                <c:pt idx="51">
                  <c:v>46142</c:v>
                </c:pt>
                <c:pt idx="52">
                  <c:v>46171</c:v>
                </c:pt>
              </c:numCache>
            </c:numRef>
          </c:cat>
          <c:val>
            <c:numRef>
              <c:f>'Rolling Ratios 1'!$E$2:$E$54</c:f>
              <c:numCache>
                <c:formatCode>General</c:formatCode>
                <c:ptCount val="53"/>
                <c:pt idx="0">
                  <c:v>-0.63963223302117611</c:v>
                </c:pt>
                <c:pt idx="1">
                  <c:v>-0.68696859796619414</c:v>
                </c:pt>
                <c:pt idx="2">
                  <c:v>-0.79855932577290167</c:v>
                </c:pt>
                <c:pt idx="3">
                  <c:v>-0.81285765712952951</c:v>
                </c:pt>
                <c:pt idx="4">
                  <c:v>-0.87826760829689876</c:v>
                </c:pt>
                <c:pt idx="5">
                  <c:v>-0.84766936298579065</c:v>
                </c:pt>
                <c:pt idx="6">
                  <c:v>-0.51645152455575782</c:v>
                </c:pt>
                <c:pt idx="7">
                  <c:v>-0.54271196079401085</c:v>
                </c:pt>
                <c:pt idx="8">
                  <c:v>-0.2059949930614535</c:v>
                </c:pt>
                <c:pt idx="9">
                  <c:v>-0.28819007372575811</c:v>
                </c:pt>
                <c:pt idx="10">
                  <c:v>0.1909571361615052</c:v>
                </c:pt>
                <c:pt idx="11">
                  <c:v>0.18295560307947761</c:v>
                </c:pt>
                <c:pt idx="12">
                  <c:v>0.31471937021242569</c:v>
                </c:pt>
                <c:pt idx="13">
                  <c:v>1.2286336160644231E-2</c:v>
                </c:pt>
                <c:pt idx="14">
                  <c:v>-5.4643721874892567E-2</c:v>
                </c:pt>
                <c:pt idx="15">
                  <c:v>-0.1231918382155776</c:v>
                </c:pt>
                <c:pt idx="16">
                  <c:v>-0.21241793537332801</c:v>
                </c:pt>
                <c:pt idx="17">
                  <c:v>-0.37708545968593798</c:v>
                </c:pt>
                <c:pt idx="18">
                  <c:v>-0.69251085144504809</c:v>
                </c:pt>
                <c:pt idx="19">
                  <c:v>-0.5342197122546154</c:v>
                </c:pt>
                <c:pt idx="20">
                  <c:v>-0.69487722291619658</c:v>
                </c:pt>
                <c:pt idx="21">
                  <c:v>-0.30432372295216148</c:v>
                </c:pt>
                <c:pt idx="22">
                  <c:v>-0.57598967441385784</c:v>
                </c:pt>
                <c:pt idx="23">
                  <c:v>-0.61924894989475754</c:v>
                </c:pt>
                <c:pt idx="24">
                  <c:v>-0.92398396637985192</c:v>
                </c:pt>
                <c:pt idx="25">
                  <c:v>-1.026160722258777</c:v>
                </c:pt>
                <c:pt idx="26">
                  <c:v>-1.0630079064175839</c:v>
                </c:pt>
                <c:pt idx="27">
                  <c:v>-1.0646136887326529</c:v>
                </c:pt>
                <c:pt idx="28">
                  <c:v>-1.0339963207052549</c:v>
                </c:pt>
                <c:pt idx="29">
                  <c:v>-1.152309228029804</c:v>
                </c:pt>
                <c:pt idx="30">
                  <c:v>-1.106840948077003</c:v>
                </c:pt>
                <c:pt idx="31">
                  <c:v>-1.2703270780064539</c:v>
                </c:pt>
                <c:pt idx="32">
                  <c:v>-1.447768648458579</c:v>
                </c:pt>
                <c:pt idx="33">
                  <c:v>-0.4359073289630635</c:v>
                </c:pt>
                <c:pt idx="34">
                  <c:v>-9.3025069929005902E-2</c:v>
                </c:pt>
                <c:pt idx="35">
                  <c:v>-0.12924782719433409</c:v>
                </c:pt>
                <c:pt idx="36">
                  <c:v>7.7766591580812963E-2</c:v>
                </c:pt>
                <c:pt idx="37">
                  <c:v>0.24868288160827631</c:v>
                </c:pt>
                <c:pt idx="38">
                  <c:v>0.29163338531289212</c:v>
                </c:pt>
                <c:pt idx="39">
                  <c:v>5.0487789090456377E-2</c:v>
                </c:pt>
                <c:pt idx="40">
                  <c:v>0.42481130120957178</c:v>
                </c:pt>
                <c:pt idx="41">
                  <c:v>0.37471529490303301</c:v>
                </c:pt>
                <c:pt idx="42">
                  <c:v>0.51931084464729738</c:v>
                </c:pt>
                <c:pt idx="43">
                  <c:v>0.57308616443892468</c:v>
                </c:pt>
                <c:pt idx="44">
                  <c:v>0.39321870735293157</c:v>
                </c:pt>
                <c:pt idx="45">
                  <c:v>0.1114212827095139</c:v>
                </c:pt>
                <c:pt idx="46">
                  <c:v>3.3621719106919377E-2</c:v>
                </c:pt>
                <c:pt idx="47">
                  <c:v>-0.22430189892439359</c:v>
                </c:pt>
                <c:pt idx="48">
                  <c:v>-0.2732645404231</c:v>
                </c:pt>
                <c:pt idx="49">
                  <c:v>-0.24293098741295921</c:v>
                </c:pt>
                <c:pt idx="50">
                  <c:v>-0.16668732973782829</c:v>
                </c:pt>
                <c:pt idx="51">
                  <c:v>-0.27351397684494722</c:v>
                </c:pt>
                <c:pt idx="52">
                  <c:v>-0.3646868284118841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F4-46D8-A7A8-C3B66EF98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7348608"/>
        <c:axId val="1430753648"/>
      </c:lineChart>
      <c:dateAx>
        <c:axId val="108734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End-month</a:t>
                </a:r>
                <a:r>
                  <a:rPr lang="en-GB" baseline="0"/>
                  <a:t> of rolling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753648"/>
        <c:crosses val="autoZero"/>
        <c:auto val="1"/>
        <c:lblOffset val="100"/>
        <c:baseTimeUnit val="months"/>
      </c:dateAx>
      <c:valAx>
        <c:axId val="143075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Rolling</a:t>
                </a:r>
                <a:r>
                  <a:rPr lang="en-GB" baseline="0"/>
                  <a:t> Values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4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'Rolling Ratios 2'!$C$1</c:f>
              <c:strCache>
                <c:ptCount val="1"/>
                <c:pt idx="0">
                  <c:v>Rolling Information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'Rolling Ratios 2'!$A$2:$A$55</c:f>
              <c:numCache>
                <c:formatCode>m/d/yyyy</c:formatCode>
                <c:ptCount val="54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</c:numCache>
            </c:numRef>
          </c:cat>
          <c:val>
            <c:numRef>
              <c:f>'Rolling Ratios 2'!$C$2:$C$55</c:f>
              <c:numCache>
                <c:formatCode>General</c:formatCode>
                <c:ptCount val="54"/>
                <c:pt idx="0">
                  <c:v>-0.58761158526655455</c:v>
                </c:pt>
                <c:pt idx="1">
                  <c:v>-0.25535411207226311</c:v>
                </c:pt>
                <c:pt idx="2">
                  <c:v>-0.13267537913685198</c:v>
                </c:pt>
                <c:pt idx="3">
                  <c:v>-0.26386082394246613</c:v>
                </c:pt>
                <c:pt idx="4">
                  <c:v>-9.0564683887952566E-2</c:v>
                </c:pt>
                <c:pt idx="5">
                  <c:v>-6.4128477055492697E-2</c:v>
                </c:pt>
                <c:pt idx="6">
                  <c:v>8.4380149545690772E-2</c:v>
                </c:pt>
                <c:pt idx="7">
                  <c:v>-1.790028026048776E-4</c:v>
                </c:pt>
                <c:pt idx="8">
                  <c:v>0.10890134674001191</c:v>
                </c:pt>
                <c:pt idx="9">
                  <c:v>0.1228976787449254</c:v>
                </c:pt>
                <c:pt idx="10">
                  <c:v>0.46298653256933747</c:v>
                </c:pt>
                <c:pt idx="11">
                  <c:v>0.41924842149605118</c:v>
                </c:pt>
                <c:pt idx="12">
                  <c:v>0.44658787965846541</c:v>
                </c:pt>
                <c:pt idx="13">
                  <c:v>0.25073803424213759</c:v>
                </c:pt>
                <c:pt idx="14">
                  <c:v>0.20155025470307561</c:v>
                </c:pt>
                <c:pt idx="15">
                  <c:v>0.1215065813460442</c:v>
                </c:pt>
                <c:pt idx="16">
                  <c:v>-1.614770387869148E-2</c:v>
                </c:pt>
                <c:pt idx="17">
                  <c:v>-0.18395841379005631</c:v>
                </c:pt>
                <c:pt idx="18">
                  <c:v>-0.2295961388586279</c:v>
                </c:pt>
                <c:pt idx="19">
                  <c:v>-0.19015923342455199</c:v>
                </c:pt>
                <c:pt idx="20">
                  <c:v>-0.25087961976591161</c:v>
                </c:pt>
                <c:pt idx="21">
                  <c:v>-0.26671652912473659</c:v>
                </c:pt>
                <c:pt idx="22">
                  <c:v>-0.48063592416685064</c:v>
                </c:pt>
                <c:pt idx="23">
                  <c:v>-0.4893945623510344</c:v>
                </c:pt>
                <c:pt idx="24">
                  <c:v>-0.60580858243392233</c:v>
                </c:pt>
                <c:pt idx="25">
                  <c:v>-0.63099024330365261</c:v>
                </c:pt>
                <c:pt idx="26">
                  <c:v>-0.79801531629818301</c:v>
                </c:pt>
                <c:pt idx="27">
                  <c:v>-0.68369390864996438</c:v>
                </c:pt>
                <c:pt idx="28">
                  <c:v>-0.55186157542221104</c:v>
                </c:pt>
                <c:pt idx="29">
                  <c:v>-0.52767512871468392</c:v>
                </c:pt>
                <c:pt idx="30">
                  <c:v>-0.64019276610271103</c:v>
                </c:pt>
                <c:pt idx="31">
                  <c:v>-0.27058325191463473</c:v>
                </c:pt>
                <c:pt idx="32">
                  <c:v>-0.23797777695019062</c:v>
                </c:pt>
                <c:pt idx="33">
                  <c:v>-0.25595634986531701</c:v>
                </c:pt>
                <c:pt idx="34">
                  <c:v>-0.38469054746563891</c:v>
                </c:pt>
                <c:pt idx="35">
                  <c:v>-0.33921570631132114</c:v>
                </c:pt>
                <c:pt idx="36">
                  <c:v>-0.39995182316160383</c:v>
                </c:pt>
                <c:pt idx="37">
                  <c:v>-0.27907936734427802</c:v>
                </c:pt>
                <c:pt idx="38">
                  <c:v>-0.12940816686077219</c:v>
                </c:pt>
                <c:pt idx="39">
                  <c:v>-4.851853979140551E-2</c:v>
                </c:pt>
                <c:pt idx="40">
                  <c:v>-0.13334581547423549</c:v>
                </c:pt>
                <c:pt idx="41">
                  <c:v>-0.18720976112816889</c:v>
                </c:pt>
                <c:pt idx="42">
                  <c:v>-0.2094222094426329</c:v>
                </c:pt>
                <c:pt idx="43">
                  <c:v>-0.60423455198366349</c:v>
                </c:pt>
                <c:pt idx="44">
                  <c:v>-0.45975227423594633</c:v>
                </c:pt>
                <c:pt idx="45">
                  <c:v>-0.4014676505159846</c:v>
                </c:pt>
                <c:pt idx="46">
                  <c:v>-0.42347846288226298</c:v>
                </c:pt>
                <c:pt idx="47">
                  <c:v>-0.37487290916453775</c:v>
                </c:pt>
                <c:pt idx="48">
                  <c:v>-0.18944914185134329</c:v>
                </c:pt>
                <c:pt idx="49">
                  <c:v>4.4929706539922634E-2</c:v>
                </c:pt>
                <c:pt idx="50">
                  <c:v>7.4626237505683812E-2</c:v>
                </c:pt>
                <c:pt idx="51">
                  <c:v>8.5588679950914266E-5</c:v>
                </c:pt>
                <c:pt idx="52">
                  <c:v>-0.12933946074339839</c:v>
                </c:pt>
                <c:pt idx="53">
                  <c:v>-9.5179129705903573E-2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7-4956-ACE7-FBBC548CA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422416"/>
        <c:axId val="909530736"/>
      </c:lineChart>
      <c:dateAx>
        <c:axId val="1702422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End-month of Rolling</a:t>
                </a:r>
                <a:r>
                  <a:rPr lang="en-GB" baseline="0"/>
                  <a:t> Period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530736"/>
        <c:crosses val="autoZero"/>
        <c:auto val="1"/>
        <c:lblOffset val="100"/>
        <c:baseTimeUnit val="months"/>
      </c:dateAx>
      <c:valAx>
        <c:axId val="90953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Information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42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Rolling Up-Capture and Down-Capture</a:t>
            </a:r>
            <a:r>
              <a:rPr lang="en-GB" baseline="0"/>
              <a:t> Ratio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'Rolling Ratios 2'!$D$1</c:f>
              <c:strCache>
                <c:ptCount val="1"/>
                <c:pt idx="0">
                  <c:v>Rolling Up-Capture Ratio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'Rolling Ratios 2'!$A$2:$A$55</c:f>
              <c:numCache>
                <c:formatCode>m/d/yyyy</c:formatCode>
                <c:ptCount val="54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</c:numCache>
            </c:numRef>
          </c:cat>
          <c:val>
            <c:numRef>
              <c:f>'Rolling Ratios 2'!$D$2:$D$55</c:f>
              <c:numCache>
                <c:formatCode>General</c:formatCode>
                <c:ptCount val="54"/>
                <c:pt idx="0">
                  <c:v>55.906134946787553</c:v>
                </c:pt>
                <c:pt idx="1">
                  <c:v>60.701515766562807</c:v>
                </c:pt>
                <c:pt idx="2">
                  <c:v>59.691104632389823</c:v>
                </c:pt>
                <c:pt idx="3">
                  <c:v>59.865889900362824</c:v>
                </c:pt>
                <c:pt idx="4">
                  <c:v>56.436506436164471</c:v>
                </c:pt>
                <c:pt idx="5">
                  <c:v>57.412035199643597</c:v>
                </c:pt>
                <c:pt idx="6">
                  <c:v>58.424437283595182</c:v>
                </c:pt>
                <c:pt idx="7">
                  <c:v>58.553759314755048</c:v>
                </c:pt>
                <c:pt idx="8">
                  <c:v>59.070131146434107</c:v>
                </c:pt>
                <c:pt idx="9">
                  <c:v>59.070131146434107</c:v>
                </c:pt>
                <c:pt idx="10">
                  <c:v>99.726908684657175</c:v>
                </c:pt>
                <c:pt idx="11">
                  <c:v>96.000823833508576</c:v>
                </c:pt>
                <c:pt idx="12">
                  <c:v>96.000823833508576</c:v>
                </c:pt>
                <c:pt idx="13">
                  <c:v>89.222330912507843</c:v>
                </c:pt>
                <c:pt idx="14">
                  <c:v>93.072479088251214</c:v>
                </c:pt>
                <c:pt idx="15">
                  <c:v>87.964707801130047</c:v>
                </c:pt>
                <c:pt idx="16">
                  <c:v>86.082446985163074</c:v>
                </c:pt>
                <c:pt idx="17">
                  <c:v>75.976482233310946</c:v>
                </c:pt>
                <c:pt idx="18">
                  <c:v>77.511700008556801</c:v>
                </c:pt>
                <c:pt idx="19">
                  <c:v>78.666491470587658</c:v>
                </c:pt>
                <c:pt idx="20">
                  <c:v>78.113659900761789</c:v>
                </c:pt>
                <c:pt idx="21">
                  <c:v>78.113659900761789</c:v>
                </c:pt>
                <c:pt idx="22">
                  <c:v>63.973775859674909</c:v>
                </c:pt>
                <c:pt idx="23">
                  <c:v>61.808966106710969</c:v>
                </c:pt>
                <c:pt idx="24">
                  <c:v>62.380593611693058</c:v>
                </c:pt>
                <c:pt idx="25">
                  <c:v>58.297673244461969</c:v>
                </c:pt>
                <c:pt idx="26">
                  <c:v>53.74681446751152</c:v>
                </c:pt>
                <c:pt idx="27">
                  <c:v>56.899541600074279</c:v>
                </c:pt>
                <c:pt idx="28">
                  <c:v>58.321494797736072</c:v>
                </c:pt>
                <c:pt idx="29">
                  <c:v>63.888438699985429</c:v>
                </c:pt>
                <c:pt idx="30">
                  <c:v>58.483739337698239</c:v>
                </c:pt>
                <c:pt idx="31">
                  <c:v>59.368710383179888</c:v>
                </c:pt>
                <c:pt idx="32">
                  <c:v>61.936708508101233</c:v>
                </c:pt>
                <c:pt idx="33">
                  <c:v>62.14172736404349</c:v>
                </c:pt>
                <c:pt idx="34">
                  <c:v>59.903784417750728</c:v>
                </c:pt>
                <c:pt idx="35">
                  <c:v>58.911199934797303</c:v>
                </c:pt>
                <c:pt idx="36">
                  <c:v>50.55144128335273</c:v>
                </c:pt>
                <c:pt idx="37">
                  <c:v>52.416761620926209</c:v>
                </c:pt>
                <c:pt idx="38">
                  <c:v>49.057524346629243</c:v>
                </c:pt>
                <c:pt idx="39">
                  <c:v>40.808507985589337</c:v>
                </c:pt>
                <c:pt idx="40">
                  <c:v>43.798160645257568</c:v>
                </c:pt>
                <c:pt idx="41">
                  <c:v>43.05219117262714</c:v>
                </c:pt>
                <c:pt idx="42">
                  <c:v>43.172632338177621</c:v>
                </c:pt>
                <c:pt idx="43">
                  <c:v>40.400282405106097</c:v>
                </c:pt>
                <c:pt idx="44">
                  <c:v>36.329694785384731</c:v>
                </c:pt>
                <c:pt idx="45">
                  <c:v>43.833040283935169</c:v>
                </c:pt>
                <c:pt idx="46">
                  <c:v>48.170429742750812</c:v>
                </c:pt>
                <c:pt idx="47">
                  <c:v>50.123383304200608</c:v>
                </c:pt>
                <c:pt idx="48">
                  <c:v>58.258878485609813</c:v>
                </c:pt>
                <c:pt idx="49">
                  <c:v>58.258878485609813</c:v>
                </c:pt>
                <c:pt idx="50">
                  <c:v>58.258878485609813</c:v>
                </c:pt>
                <c:pt idx="51">
                  <c:v>58.258878485609813</c:v>
                </c:pt>
                <c:pt idx="52">
                  <c:v>50.784427272381357</c:v>
                </c:pt>
                <c:pt idx="53">
                  <c:v>49.589308832178787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A-433B-A657-547AC1089697}"/>
            </c:ext>
          </c:extLst>
        </c:ser>
        <c:ser>
          <c:idx val="1"/>
          <c:order val="1"/>
          <c:tx>
            <c:strRef>
              <c:f>'Rolling Ratios 2'!$E$1</c:f>
              <c:strCache>
                <c:ptCount val="1"/>
                <c:pt idx="0">
                  <c:v>Rolling Down-Capture Ratio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'Rolling Ratios 2'!$A$2:$A$55</c:f>
              <c:numCache>
                <c:formatCode>m/d/yyyy</c:formatCode>
                <c:ptCount val="54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  <c:pt idx="16">
                  <c:v>45017</c:v>
                </c:pt>
                <c:pt idx="17">
                  <c:v>45047</c:v>
                </c:pt>
                <c:pt idx="18">
                  <c:v>45078</c:v>
                </c:pt>
                <c:pt idx="19">
                  <c:v>45108</c:v>
                </c:pt>
                <c:pt idx="20">
                  <c:v>45139</c:v>
                </c:pt>
                <c:pt idx="21">
                  <c:v>45170</c:v>
                </c:pt>
                <c:pt idx="22">
                  <c:v>45200</c:v>
                </c:pt>
                <c:pt idx="23">
                  <c:v>45231</c:v>
                </c:pt>
                <c:pt idx="24">
                  <c:v>45261</c:v>
                </c:pt>
                <c:pt idx="25">
                  <c:v>45292</c:v>
                </c:pt>
                <c:pt idx="26">
                  <c:v>45323</c:v>
                </c:pt>
                <c:pt idx="27">
                  <c:v>45352</c:v>
                </c:pt>
                <c:pt idx="28">
                  <c:v>45383</c:v>
                </c:pt>
                <c:pt idx="29">
                  <c:v>45413</c:v>
                </c:pt>
                <c:pt idx="30">
                  <c:v>45444</c:v>
                </c:pt>
                <c:pt idx="31">
                  <c:v>45474</c:v>
                </c:pt>
                <c:pt idx="32">
                  <c:v>45505</c:v>
                </c:pt>
                <c:pt idx="33">
                  <c:v>45536</c:v>
                </c:pt>
                <c:pt idx="34">
                  <c:v>45566</c:v>
                </c:pt>
                <c:pt idx="35">
                  <c:v>45597</c:v>
                </c:pt>
                <c:pt idx="36">
                  <c:v>45627</c:v>
                </c:pt>
                <c:pt idx="37">
                  <c:v>45658</c:v>
                </c:pt>
                <c:pt idx="38">
                  <c:v>45689</c:v>
                </c:pt>
                <c:pt idx="39">
                  <c:v>45717</c:v>
                </c:pt>
                <c:pt idx="40">
                  <c:v>45748</c:v>
                </c:pt>
                <c:pt idx="41">
                  <c:v>45778</c:v>
                </c:pt>
                <c:pt idx="42">
                  <c:v>45809</c:v>
                </c:pt>
                <c:pt idx="43">
                  <c:v>45839</c:v>
                </c:pt>
                <c:pt idx="44">
                  <c:v>45870</c:v>
                </c:pt>
                <c:pt idx="45">
                  <c:v>45901</c:v>
                </c:pt>
                <c:pt idx="46">
                  <c:v>45931</c:v>
                </c:pt>
                <c:pt idx="47">
                  <c:v>45962</c:v>
                </c:pt>
                <c:pt idx="48">
                  <c:v>45992</c:v>
                </c:pt>
                <c:pt idx="49">
                  <c:v>46023</c:v>
                </c:pt>
                <c:pt idx="50">
                  <c:v>46054</c:v>
                </c:pt>
                <c:pt idx="51">
                  <c:v>46082</c:v>
                </c:pt>
                <c:pt idx="52">
                  <c:v>46113</c:v>
                </c:pt>
                <c:pt idx="53">
                  <c:v>46143</c:v>
                </c:pt>
              </c:numCache>
            </c:numRef>
          </c:cat>
          <c:val>
            <c:numRef>
              <c:f>'Rolling Ratios 2'!$E$2:$E$55</c:f>
              <c:numCache>
                <c:formatCode>General</c:formatCode>
                <c:ptCount val="54"/>
                <c:pt idx="0">
                  <c:v>29.020227229963702</c:v>
                </c:pt>
                <c:pt idx="1">
                  <c:v>35.605673122165378</c:v>
                </c:pt>
                <c:pt idx="2">
                  <c:v>10.100504178246499</c:v>
                </c:pt>
                <c:pt idx="3">
                  <c:v>29.251272471918551</c:v>
                </c:pt>
                <c:pt idx="4">
                  <c:v>44.741002745719101</c:v>
                </c:pt>
                <c:pt idx="5">
                  <c:v>44.741002745719101</c:v>
                </c:pt>
                <c:pt idx="6">
                  <c:v>52.903497578694306</c:v>
                </c:pt>
                <c:pt idx="7">
                  <c:v>52.903497578694306</c:v>
                </c:pt>
                <c:pt idx="8">
                  <c:v>55.591521825013679</c:v>
                </c:pt>
                <c:pt idx="9">
                  <c:v>59.746577030609771</c:v>
                </c:pt>
                <c:pt idx="10">
                  <c:v>59.746577030609771</c:v>
                </c:pt>
                <c:pt idx="11">
                  <c:v>59.746577030609771</c:v>
                </c:pt>
                <c:pt idx="12">
                  <c:v>61.555640091028188</c:v>
                </c:pt>
                <c:pt idx="13">
                  <c:v>65.662128258879747</c:v>
                </c:pt>
                <c:pt idx="14">
                  <c:v>73.539796873843059</c:v>
                </c:pt>
                <c:pt idx="15">
                  <c:v>73.539796873843059</c:v>
                </c:pt>
                <c:pt idx="16">
                  <c:v>79.181268543288127</c:v>
                </c:pt>
                <c:pt idx="17">
                  <c:v>79.181268543288127</c:v>
                </c:pt>
                <c:pt idx="18">
                  <c:v>80.073451018988763</c:v>
                </c:pt>
                <c:pt idx="19">
                  <c:v>80.073451018988763</c:v>
                </c:pt>
                <c:pt idx="20">
                  <c:v>84.68251869833351</c:v>
                </c:pt>
                <c:pt idx="21">
                  <c:v>84.68945542933028</c:v>
                </c:pt>
                <c:pt idx="22">
                  <c:v>61.228959460365758</c:v>
                </c:pt>
                <c:pt idx="23">
                  <c:v>61.228959460365758</c:v>
                </c:pt>
                <c:pt idx="24">
                  <c:v>53.723995387342093</c:v>
                </c:pt>
                <c:pt idx="25">
                  <c:v>53.723995387342093</c:v>
                </c:pt>
                <c:pt idx="26">
                  <c:v>53.723995387342093</c:v>
                </c:pt>
                <c:pt idx="27">
                  <c:v>53.723995387342093</c:v>
                </c:pt>
                <c:pt idx="28">
                  <c:v>46.514134359686317</c:v>
                </c:pt>
                <c:pt idx="29">
                  <c:v>46.514134359686317</c:v>
                </c:pt>
                <c:pt idx="30">
                  <c:v>46.514134359686317</c:v>
                </c:pt>
                <c:pt idx="31">
                  <c:v>5.2288282937396717</c:v>
                </c:pt>
                <c:pt idx="32">
                  <c:v>5.2288282937396717</c:v>
                </c:pt>
                <c:pt idx="33">
                  <c:v>-79.928793757677553</c:v>
                </c:pt>
                <c:pt idx="34">
                  <c:v>-39.400756939787193</c:v>
                </c:pt>
                <c:pt idx="35">
                  <c:v>-39.400756939787193</c:v>
                </c:pt>
                <c:pt idx="36">
                  <c:v>-39.400756939787193</c:v>
                </c:pt>
                <c:pt idx="37">
                  <c:v>0.93355035873024117</c:v>
                </c:pt>
                <c:pt idx="38">
                  <c:v>-0.35449662824740569</c:v>
                </c:pt>
                <c:pt idx="39">
                  <c:v>23.97932791841281</c:v>
                </c:pt>
                <c:pt idx="40">
                  <c:v>21.59836026748804</c:v>
                </c:pt>
                <c:pt idx="41">
                  <c:v>21.59836026748804</c:v>
                </c:pt>
                <c:pt idx="42">
                  <c:v>21.59836026748804</c:v>
                </c:pt>
                <c:pt idx="43">
                  <c:v>59.113127907006373</c:v>
                </c:pt>
                <c:pt idx="44">
                  <c:v>38.1287064733324</c:v>
                </c:pt>
                <c:pt idx="45">
                  <c:v>38.1287064733324</c:v>
                </c:pt>
                <c:pt idx="46">
                  <c:v>38.1287064733324</c:v>
                </c:pt>
                <c:pt idx="47">
                  <c:v>55.755588470264733</c:v>
                </c:pt>
                <c:pt idx="48">
                  <c:v>41.384761878345152</c:v>
                </c:pt>
                <c:pt idx="49">
                  <c:v>-25.074559329973479</c:v>
                </c:pt>
                <c:pt idx="50">
                  <c:v>-18.43312473761112</c:v>
                </c:pt>
                <c:pt idx="51">
                  <c:v>-34.680092173256</c:v>
                </c:pt>
                <c:pt idx="52">
                  <c:v>-34.680092173256</c:v>
                </c:pt>
                <c:pt idx="53">
                  <c:v>-34.680092173256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6A-433B-A657-547AC1089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273088"/>
        <c:axId val="852585296"/>
      </c:lineChart>
      <c:dateAx>
        <c:axId val="157127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End-month of rolling 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85296"/>
        <c:crosses val="autoZero"/>
        <c:auto val="1"/>
        <c:lblOffset val="100"/>
        <c:baseTimeUnit val="months"/>
      </c:dateAx>
      <c:valAx>
        <c:axId val="85258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27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 Wealth curve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Portfolio Wealth</c:v>
          </c:tx>
          <c:spPr>
            <a:ln w="317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'Wealth Curves'!$A$2:$A$66</c:f>
              <c:numCache>
                <c:formatCode>yyyy\-mm\-dd\ hh:mm:ss</c:formatCode>
                <c:ptCount val="6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</c:numCache>
            </c:numRef>
          </c:cat>
          <c:val>
            <c:numRef>
              <c:f>'Wealth Curves'!$B$2:$B$66</c:f>
              <c:numCache>
                <c:formatCode>General</c:formatCode>
                <c:ptCount val="65"/>
                <c:pt idx="0">
                  <c:v>973.88105755746835</c:v>
                </c:pt>
                <c:pt idx="1">
                  <c:v>998.32914535753798</c:v>
                </c:pt>
                <c:pt idx="2">
                  <c:v>1035.2331587602289</c:v>
                </c:pt>
                <c:pt idx="3">
                  <c:v>1104.3021625680619</c:v>
                </c:pt>
                <c:pt idx="4">
                  <c:v>1131.1140192495629</c:v>
                </c:pt>
                <c:pt idx="5">
                  <c:v>1210.5988703714529</c:v>
                </c:pt>
                <c:pt idx="6">
                  <c:v>1224.25194051372</c:v>
                </c:pt>
                <c:pt idx="7">
                  <c:v>1282.018039210652</c:v>
                </c:pt>
                <c:pt idx="8">
                  <c:v>1203.628318889113</c:v>
                </c:pt>
                <c:pt idx="9">
                  <c:v>1301.739040853545</c:v>
                </c:pt>
                <c:pt idx="10">
                  <c:v>1407.238155020772</c:v>
                </c:pt>
                <c:pt idx="11">
                  <c:v>1410.7998437979561</c:v>
                </c:pt>
                <c:pt idx="12">
                  <c:v>1341.2359935558561</c:v>
                </c:pt>
                <c:pt idx="13">
                  <c:v>1409.0202428503981</c:v>
                </c:pt>
                <c:pt idx="14">
                  <c:v>1465.569756329319</c:v>
                </c:pt>
                <c:pt idx="15">
                  <c:v>1291.708391583913</c:v>
                </c:pt>
                <c:pt idx="16">
                  <c:v>1312.6802168071069</c:v>
                </c:pt>
                <c:pt idx="17">
                  <c:v>1177.774111773829</c:v>
                </c:pt>
                <c:pt idx="18">
                  <c:v>1277.504627315217</c:v>
                </c:pt>
                <c:pt idx="19">
                  <c:v>1187.1755054156749</c:v>
                </c:pt>
                <c:pt idx="20">
                  <c:v>1022.02059952755</c:v>
                </c:pt>
                <c:pt idx="21">
                  <c:v>1204.358503229076</c:v>
                </c:pt>
                <c:pt idx="22">
                  <c:v>1338.700771407583</c:v>
                </c:pt>
                <c:pt idx="23">
                  <c:v>1260.883548476131</c:v>
                </c:pt>
                <c:pt idx="24">
                  <c:v>1400.0668188935749</c:v>
                </c:pt>
                <c:pt idx="25">
                  <c:v>1537.181186495917</c:v>
                </c:pt>
                <c:pt idx="26">
                  <c:v>1655.7381373663941</c:v>
                </c:pt>
                <c:pt idx="27">
                  <c:v>1639.051607669958</c:v>
                </c:pt>
                <c:pt idx="28">
                  <c:v>1810.1875174802019</c:v>
                </c:pt>
                <c:pt idx="29">
                  <c:v>1937.2677364636411</c:v>
                </c:pt>
                <c:pt idx="30">
                  <c:v>1977.287650546823</c:v>
                </c:pt>
                <c:pt idx="31">
                  <c:v>1993.655098855374</c:v>
                </c:pt>
                <c:pt idx="32">
                  <c:v>1830.509121745353</c:v>
                </c:pt>
                <c:pt idx="33">
                  <c:v>1899.4463024124429</c:v>
                </c:pt>
                <c:pt idx="34">
                  <c:v>2037.7998831956211</c:v>
                </c:pt>
                <c:pt idx="35">
                  <c:v>2132.4688067992861</c:v>
                </c:pt>
                <c:pt idx="36">
                  <c:v>2247.4719221141891</c:v>
                </c:pt>
                <c:pt idx="37">
                  <c:v>2455.1181944808191</c:v>
                </c:pt>
                <c:pt idx="38">
                  <c:v>2610.526664514437</c:v>
                </c:pt>
                <c:pt idx="39">
                  <c:v>2568.043272521415</c:v>
                </c:pt>
                <c:pt idx="40">
                  <c:v>2803.9587124773511</c:v>
                </c:pt>
                <c:pt idx="41">
                  <c:v>2926.9391637109961</c:v>
                </c:pt>
                <c:pt idx="42">
                  <c:v>3077.6050646933431</c:v>
                </c:pt>
                <c:pt idx="43">
                  <c:v>3177.2744225629581</c:v>
                </c:pt>
                <c:pt idx="44">
                  <c:v>3253.0775539451702</c:v>
                </c:pt>
                <c:pt idx="45">
                  <c:v>3222.292295839512</c:v>
                </c:pt>
                <c:pt idx="46">
                  <c:v>3234.0750837815071</c:v>
                </c:pt>
                <c:pt idx="47">
                  <c:v>3114.7261741851271</c:v>
                </c:pt>
                <c:pt idx="48">
                  <c:v>3001.299066071314</c:v>
                </c:pt>
                <c:pt idx="49">
                  <c:v>3006.576022131811</c:v>
                </c:pt>
                <c:pt idx="50">
                  <c:v>2824.332325079276</c:v>
                </c:pt>
                <c:pt idx="51">
                  <c:v>2905.981096777803</c:v>
                </c:pt>
                <c:pt idx="52">
                  <c:v>3237.285369356181</c:v>
                </c:pt>
                <c:pt idx="53">
                  <c:v>3424.664830660402</c:v>
                </c:pt>
                <c:pt idx="54">
                  <c:v>3503.264369888675</c:v>
                </c:pt>
                <c:pt idx="55">
                  <c:v>3585.017922431884</c:v>
                </c:pt>
                <c:pt idx="56">
                  <c:v>3868.8845631759009</c:v>
                </c:pt>
                <c:pt idx="57">
                  <c:v>4073.8835436687809</c:v>
                </c:pt>
                <c:pt idx="58">
                  <c:v>3786.2809400680731</c:v>
                </c:pt>
                <c:pt idx="59">
                  <c:v>3921.2341244515242</c:v>
                </c:pt>
                <c:pt idx="60">
                  <c:v>4424.7869381437167</c:v>
                </c:pt>
                <c:pt idx="61">
                  <c:v>4391.3924991217054</c:v>
                </c:pt>
                <c:pt idx="62">
                  <c:v>4200.0541580308927</c:v>
                </c:pt>
                <c:pt idx="63">
                  <c:v>4426.4332082507908</c:v>
                </c:pt>
                <c:pt idx="64">
                  <c:v>4710.7946270899674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C0-4D8C-B6C9-642D435F274F}"/>
            </c:ext>
          </c:extLst>
        </c:ser>
        <c:ser>
          <c:idx val="1"/>
          <c:order val="1"/>
          <c:tx>
            <c:v>Benchmark Wealth</c:v>
          </c:tx>
          <c:spPr>
            <a:ln w="31750">
              <a:solidFill>
                <a:srgbClr val="FF7F0E"/>
              </a:solidFill>
            </a:ln>
          </c:spPr>
          <c:marker>
            <c:symbol val="none"/>
          </c:marker>
          <c:cat>
            <c:numRef>
              <c:f>'Wealth Curves'!$A$2:$A$66</c:f>
              <c:numCache>
                <c:formatCode>yyyy\-mm\-dd\ hh:mm:ss</c:formatCode>
                <c:ptCount val="65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</c:numCache>
            </c:numRef>
          </c:cat>
          <c:val>
            <c:numRef>
              <c:f>'Wealth Curves'!$C$2:$C$66</c:f>
              <c:numCache>
                <c:formatCode>General</c:formatCode>
                <c:ptCount val="65"/>
                <c:pt idx="0">
                  <c:v>1010.848235011909</c:v>
                </c:pt>
                <c:pt idx="1">
                  <c:v>1041.8767344555019</c:v>
                </c:pt>
                <c:pt idx="2">
                  <c:v>1035.651844972564</c:v>
                </c:pt>
                <c:pt idx="3">
                  <c:v>1113.679292603975</c:v>
                </c:pt>
                <c:pt idx="4">
                  <c:v>1153.8475013145901</c:v>
                </c:pt>
                <c:pt idx="5">
                  <c:v>1304.7367402983641</c:v>
                </c:pt>
                <c:pt idx="6">
                  <c:v>1330.921419513671</c:v>
                </c:pt>
                <c:pt idx="7">
                  <c:v>1444.204586680926</c:v>
                </c:pt>
                <c:pt idx="8">
                  <c:v>1355.6987101254069</c:v>
                </c:pt>
                <c:pt idx="9">
                  <c:v>1591.179331045892</c:v>
                </c:pt>
                <c:pt idx="10">
                  <c:v>1781.1398983485401</c:v>
                </c:pt>
                <c:pt idx="11">
                  <c:v>1768.064768762888</c:v>
                </c:pt>
                <c:pt idx="12">
                  <c:v>1547.6112287401279</c:v>
                </c:pt>
                <c:pt idx="13">
                  <c:v>1543.176534583466</c:v>
                </c:pt>
                <c:pt idx="14">
                  <c:v>1643.7451444971121</c:v>
                </c:pt>
                <c:pt idx="15">
                  <c:v>1319.546655447373</c:v>
                </c:pt>
                <c:pt idx="16">
                  <c:v>1334.520947078398</c:v>
                </c:pt>
                <c:pt idx="17">
                  <c:v>1156.2780695784541</c:v>
                </c:pt>
                <c:pt idx="18">
                  <c:v>1323.214326395133</c:v>
                </c:pt>
                <c:pt idx="19">
                  <c:v>1188.6296589431199</c:v>
                </c:pt>
                <c:pt idx="20">
                  <c:v>1012.6367747865989</c:v>
                </c:pt>
                <c:pt idx="21">
                  <c:v>1074.733932684896</c:v>
                </c:pt>
                <c:pt idx="22">
                  <c:v>1253.938686592983</c:v>
                </c:pt>
                <c:pt idx="23">
                  <c:v>1147.530776436103</c:v>
                </c:pt>
                <c:pt idx="24">
                  <c:v>1328.6435571474969</c:v>
                </c:pt>
                <c:pt idx="25">
                  <c:v>1435.097826997157</c:v>
                </c:pt>
                <c:pt idx="26">
                  <c:v>1646.2143765167591</c:v>
                </c:pt>
                <c:pt idx="27">
                  <c:v>1654.6167915156841</c:v>
                </c:pt>
                <c:pt idx="28">
                  <c:v>2035.760264524554</c:v>
                </c:pt>
                <c:pt idx="29">
                  <c:v>2180.1034708768061</c:v>
                </c:pt>
                <c:pt idx="30">
                  <c:v>2283.3886347919902</c:v>
                </c:pt>
                <c:pt idx="31">
                  <c:v>2323.2104102519402</c:v>
                </c:pt>
                <c:pt idx="32">
                  <c:v>2136.4116328881828</c:v>
                </c:pt>
                <c:pt idx="33">
                  <c:v>2132.532555484956</c:v>
                </c:pt>
                <c:pt idx="34">
                  <c:v>2423.5059844444781</c:v>
                </c:pt>
                <c:pt idx="35">
                  <c:v>2584.1661539918659</c:v>
                </c:pt>
                <c:pt idx="36">
                  <c:v>2915.3266175665331</c:v>
                </c:pt>
                <c:pt idx="37">
                  <c:v>3348.2366666488688</c:v>
                </c:pt>
                <c:pt idx="38">
                  <c:v>3574.3445923326708</c:v>
                </c:pt>
                <c:pt idx="39">
                  <c:v>3403.7356541379122</c:v>
                </c:pt>
                <c:pt idx="40">
                  <c:v>3850.1744614491672</c:v>
                </c:pt>
                <c:pt idx="41">
                  <c:v>4239.2956692287389</c:v>
                </c:pt>
                <c:pt idx="42">
                  <c:v>4062.8935598199769</c:v>
                </c:pt>
                <c:pt idx="43">
                  <c:v>4157.7023792100017</c:v>
                </c:pt>
                <c:pt idx="44">
                  <c:v>4306.3202943494834</c:v>
                </c:pt>
                <c:pt idx="45">
                  <c:v>4373.142837589834</c:v>
                </c:pt>
                <c:pt idx="46">
                  <c:v>4519.1825325231157</c:v>
                </c:pt>
                <c:pt idx="47">
                  <c:v>4634.5718333377827</c:v>
                </c:pt>
                <c:pt idx="48">
                  <c:v>4445.6080469562376</c:v>
                </c:pt>
                <c:pt idx="49">
                  <c:v>4342.4276402954001</c:v>
                </c:pt>
                <c:pt idx="50">
                  <c:v>3920.3922769622168</c:v>
                </c:pt>
                <c:pt idx="51">
                  <c:v>4081.281085913085</c:v>
                </c:pt>
                <c:pt idx="52">
                  <c:v>4855.2563406837789</c:v>
                </c:pt>
                <c:pt idx="53">
                  <c:v>5497.3492952022907</c:v>
                </c:pt>
                <c:pt idx="54">
                  <c:v>5996.929680650358</c:v>
                </c:pt>
                <c:pt idx="55">
                  <c:v>5832.0296893824834</c:v>
                </c:pt>
                <c:pt idx="56">
                  <c:v>6213.5309475126533</c:v>
                </c:pt>
                <c:pt idx="57">
                  <c:v>6783.3506350576154</c:v>
                </c:pt>
                <c:pt idx="58">
                  <c:v>6329.0599341459347</c:v>
                </c:pt>
                <c:pt idx="59">
                  <c:v>6312.3157352490316</c:v>
                </c:pt>
                <c:pt idx="60">
                  <c:v>6226.6694179815131</c:v>
                </c:pt>
                <c:pt idx="61">
                  <c:v>5878.0630142641976</c:v>
                </c:pt>
                <c:pt idx="62">
                  <c:v>5744.4992838153776</c:v>
                </c:pt>
                <c:pt idx="63">
                  <c:v>6779.4442179364778</c:v>
                </c:pt>
                <c:pt idx="64">
                  <c:v>7507.2869799801019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C0-4D8C-B6C9-642D435F2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mmm\-yy" sourceLinked="0"/>
        <c:majorTickMark val="out"/>
        <c:minorTickMark val="none"/>
        <c:tickLblPos val="nextTo"/>
        <c:crossAx val="50010002"/>
        <c:crosses val="autoZero"/>
        <c:auto val="1"/>
        <c:lblOffset val="100"/>
        <c:baseTimeUnit val="month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Wealth ($)</a:t>
                </a:r>
              </a:p>
            </c:rich>
          </c:tx>
          <c:overlay val="0"/>
        </c:title>
        <c:numFmt formatCode="\$#,##0.00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Drawdown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Drawdown!$B$1</c:f>
              <c:strCache>
                <c:ptCount val="1"/>
                <c:pt idx="0">
                  <c:v>Drawdown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Drawdown!$A$2:$A$66</c:f>
              <c:numCache>
                <c:formatCode>yyyy/mm/dd\ </c:formatCode>
                <c:ptCount val="65"/>
                <c:pt idx="0">
                  <c:v>44225</c:v>
                </c:pt>
                <c:pt idx="1">
                  <c:v>44253</c:v>
                </c:pt>
                <c:pt idx="2">
                  <c:v>44286</c:v>
                </c:pt>
                <c:pt idx="3">
                  <c:v>44316</c:v>
                </c:pt>
                <c:pt idx="4">
                  <c:v>44344</c:v>
                </c:pt>
                <c:pt idx="5">
                  <c:v>44377</c:v>
                </c:pt>
                <c:pt idx="6">
                  <c:v>44407</c:v>
                </c:pt>
                <c:pt idx="7">
                  <c:v>44439</c:v>
                </c:pt>
                <c:pt idx="8">
                  <c:v>44469</c:v>
                </c:pt>
                <c:pt idx="9">
                  <c:v>44498</c:v>
                </c:pt>
                <c:pt idx="10">
                  <c:v>44530</c:v>
                </c:pt>
                <c:pt idx="11">
                  <c:v>44561</c:v>
                </c:pt>
                <c:pt idx="12">
                  <c:v>44592</c:v>
                </c:pt>
                <c:pt idx="13">
                  <c:v>44620</c:v>
                </c:pt>
                <c:pt idx="14">
                  <c:v>44651</c:v>
                </c:pt>
                <c:pt idx="15">
                  <c:v>44680</c:v>
                </c:pt>
                <c:pt idx="16">
                  <c:v>44712</c:v>
                </c:pt>
                <c:pt idx="17">
                  <c:v>44742</c:v>
                </c:pt>
                <c:pt idx="18">
                  <c:v>44771</c:v>
                </c:pt>
                <c:pt idx="19">
                  <c:v>44804</c:v>
                </c:pt>
                <c:pt idx="20">
                  <c:v>44834</c:v>
                </c:pt>
                <c:pt idx="21">
                  <c:v>44865</c:v>
                </c:pt>
                <c:pt idx="22">
                  <c:v>44895</c:v>
                </c:pt>
                <c:pt idx="23">
                  <c:v>44925</c:v>
                </c:pt>
                <c:pt idx="24">
                  <c:v>44957</c:v>
                </c:pt>
                <c:pt idx="25">
                  <c:v>44985</c:v>
                </c:pt>
                <c:pt idx="26">
                  <c:v>45016</c:v>
                </c:pt>
                <c:pt idx="27">
                  <c:v>45044</c:v>
                </c:pt>
                <c:pt idx="28">
                  <c:v>45077</c:v>
                </c:pt>
                <c:pt idx="29">
                  <c:v>45107</c:v>
                </c:pt>
                <c:pt idx="30">
                  <c:v>45138</c:v>
                </c:pt>
                <c:pt idx="31">
                  <c:v>45169</c:v>
                </c:pt>
                <c:pt idx="32">
                  <c:v>45198</c:v>
                </c:pt>
                <c:pt idx="33">
                  <c:v>45230</c:v>
                </c:pt>
                <c:pt idx="34">
                  <c:v>45260</c:v>
                </c:pt>
                <c:pt idx="35">
                  <c:v>45289</c:v>
                </c:pt>
                <c:pt idx="36">
                  <c:v>45322</c:v>
                </c:pt>
                <c:pt idx="37">
                  <c:v>45351</c:v>
                </c:pt>
                <c:pt idx="38">
                  <c:v>45379</c:v>
                </c:pt>
                <c:pt idx="39">
                  <c:v>45412</c:v>
                </c:pt>
                <c:pt idx="40">
                  <c:v>45443</c:v>
                </c:pt>
                <c:pt idx="41">
                  <c:v>45471</c:v>
                </c:pt>
                <c:pt idx="42">
                  <c:v>45504</c:v>
                </c:pt>
                <c:pt idx="43">
                  <c:v>45534</c:v>
                </c:pt>
                <c:pt idx="44">
                  <c:v>45565</c:v>
                </c:pt>
                <c:pt idx="45">
                  <c:v>45596</c:v>
                </c:pt>
                <c:pt idx="46">
                  <c:v>45625</c:v>
                </c:pt>
                <c:pt idx="47">
                  <c:v>45657</c:v>
                </c:pt>
                <c:pt idx="48">
                  <c:v>45688</c:v>
                </c:pt>
                <c:pt idx="49">
                  <c:v>45716</c:v>
                </c:pt>
                <c:pt idx="50">
                  <c:v>45747</c:v>
                </c:pt>
                <c:pt idx="51">
                  <c:v>45777</c:v>
                </c:pt>
                <c:pt idx="52">
                  <c:v>45807</c:v>
                </c:pt>
                <c:pt idx="53">
                  <c:v>45838</c:v>
                </c:pt>
                <c:pt idx="54">
                  <c:v>45869</c:v>
                </c:pt>
                <c:pt idx="55">
                  <c:v>45898</c:v>
                </c:pt>
                <c:pt idx="56">
                  <c:v>45930</c:v>
                </c:pt>
                <c:pt idx="57">
                  <c:v>45961</c:v>
                </c:pt>
                <c:pt idx="58">
                  <c:v>45989</c:v>
                </c:pt>
                <c:pt idx="59">
                  <c:v>46022</c:v>
                </c:pt>
                <c:pt idx="60">
                  <c:v>46052</c:v>
                </c:pt>
                <c:pt idx="61">
                  <c:v>46080</c:v>
                </c:pt>
                <c:pt idx="62">
                  <c:v>46112</c:v>
                </c:pt>
                <c:pt idx="63">
                  <c:v>46142</c:v>
                </c:pt>
                <c:pt idx="64">
                  <c:v>46171</c:v>
                </c:pt>
              </c:numCache>
            </c:numRef>
          </c:cat>
          <c:val>
            <c:numRef>
              <c:f>Drawdown!$B$2:$B$66</c:f>
              <c:numCache>
                <c:formatCode>0.0000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-6.1145567319632628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-4.9308093240803368</c:v>
                </c:pt>
                <c:pt idx="13">
                  <c:v>-0.1261412776150618</c:v>
                </c:pt>
                <c:pt idx="14">
                  <c:v>0</c:v>
                </c:pt>
                <c:pt idx="15">
                  <c:v>-11.863056261536149</c:v>
                </c:pt>
                <c:pt idx="16">
                  <c:v>-10.432088876147439</c:v>
                </c:pt>
                <c:pt idx="17">
                  <c:v>-19.637116780869292</c:v>
                </c:pt>
                <c:pt idx="18">
                  <c:v>-12.832219565251631</c:v>
                </c:pt>
                <c:pt idx="19">
                  <c:v>-18.995632907362442</c:v>
                </c:pt>
                <c:pt idx="20">
                  <c:v>-30.264622675667528</c:v>
                </c:pt>
                <c:pt idx="21">
                  <c:v>-17.823188010816711</c:v>
                </c:pt>
                <c:pt idx="22">
                  <c:v>-8.6566323011122712</c:v>
                </c:pt>
                <c:pt idx="23">
                  <c:v>-13.96632312922771</c:v>
                </c:pt>
                <c:pt idx="24">
                  <c:v>-4.4694520443573733</c:v>
                </c:pt>
                <c:pt idx="25">
                  <c:v>0</c:v>
                </c:pt>
                <c:pt idx="26">
                  <c:v>0</c:v>
                </c:pt>
                <c:pt idx="27">
                  <c:v>-1.0078000451796889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-8.1832598428729497</c:v>
                </c:pt>
                <c:pt idx="33">
                  <c:v>-4.7254310184855406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-1.627387782339452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-0.94634258160623563</c:v>
                </c:pt>
                <c:pt idx="46">
                  <c:v>-0.58413824597012054</c:v>
                </c:pt>
                <c:pt idx="47">
                  <c:v>-4.2529382551073036</c:v>
                </c:pt>
                <c:pt idx="48">
                  <c:v>-7.7397013658193101</c:v>
                </c:pt>
                <c:pt idx="49">
                  <c:v>-7.5774870941645656</c:v>
                </c:pt>
                <c:pt idx="50">
                  <c:v>-13.179680525781899</c:v>
                </c:pt>
                <c:pt idx="51">
                  <c:v>-10.669787344799889</c:v>
                </c:pt>
                <c:pt idx="52">
                  <c:v>-0.48545367662191619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-7.0596667901239174</c:v>
                </c:pt>
                <c:pt idx="59">
                  <c:v>-3.7470246162163749</c:v>
                </c:pt>
                <c:pt idx="60">
                  <c:v>0</c:v>
                </c:pt>
                <c:pt idx="61">
                  <c:v>-0.75471292717250904</c:v>
                </c:pt>
                <c:pt idx="62">
                  <c:v>-5.0789514445435362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F-443D-A30E-1D81601B5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672863"/>
        <c:axId val="72456623"/>
      </c:lineChart>
      <c:dateAx>
        <c:axId val="79672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End-month of</a:t>
                </a:r>
                <a:r>
                  <a:rPr lang="en-GB" baseline="0"/>
                  <a:t> rolling period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/dd\ 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56623"/>
        <c:crosses val="autoZero"/>
        <c:auto val="1"/>
        <c:lblOffset val="100"/>
        <c:baseTimeUnit val="months"/>
      </c:dateAx>
      <c:valAx>
        <c:axId val="7245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Drawdown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Portfolio Net Return 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 of Returns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'Histogram Data'!$D$2:$D$31</c:f>
              <c:strCache>
                <c:ptCount val="30"/>
                <c:pt idx="0">
                  <c:v>-13.91% to -12.85%</c:v>
                </c:pt>
                <c:pt idx="1">
                  <c:v>-12.85% to -11.79%</c:v>
                </c:pt>
                <c:pt idx="2">
                  <c:v>-11.79% to -10.74%</c:v>
                </c:pt>
                <c:pt idx="3">
                  <c:v>-10.74% to -9.68%</c:v>
                </c:pt>
                <c:pt idx="4">
                  <c:v>-9.68% to -8.62%</c:v>
                </c:pt>
                <c:pt idx="5">
                  <c:v>-8.62% to -7.56%</c:v>
                </c:pt>
                <c:pt idx="6">
                  <c:v>-7.56% to -6.50%</c:v>
                </c:pt>
                <c:pt idx="7">
                  <c:v>-6.50% to -5.44%</c:v>
                </c:pt>
                <c:pt idx="8">
                  <c:v>-5.44% to -4.39%</c:v>
                </c:pt>
                <c:pt idx="9">
                  <c:v>-4.39% to -3.33%</c:v>
                </c:pt>
                <c:pt idx="10">
                  <c:v>-3.33% to -2.27%</c:v>
                </c:pt>
                <c:pt idx="11">
                  <c:v>-2.27% to -1.21%</c:v>
                </c:pt>
                <c:pt idx="12">
                  <c:v>-1.21% to -0.15%</c:v>
                </c:pt>
                <c:pt idx="13">
                  <c:v>-0.15% to 0.91%</c:v>
                </c:pt>
                <c:pt idx="14">
                  <c:v>0.91% to 1.96%</c:v>
                </c:pt>
                <c:pt idx="15">
                  <c:v>1.96% to 3.02%</c:v>
                </c:pt>
                <c:pt idx="16">
                  <c:v>3.02% to 4.08%</c:v>
                </c:pt>
                <c:pt idx="17">
                  <c:v>4.08% to 5.14%</c:v>
                </c:pt>
                <c:pt idx="18">
                  <c:v>5.14% to 6.20%</c:v>
                </c:pt>
                <c:pt idx="19">
                  <c:v>6.20% to 7.26%</c:v>
                </c:pt>
                <c:pt idx="20">
                  <c:v>7.26% to 8.32%</c:v>
                </c:pt>
                <c:pt idx="21">
                  <c:v>8.32% to 9.37%</c:v>
                </c:pt>
                <c:pt idx="22">
                  <c:v>9.37% to 10.43%</c:v>
                </c:pt>
                <c:pt idx="23">
                  <c:v>10.43% to 11.49%</c:v>
                </c:pt>
                <c:pt idx="24">
                  <c:v>11.49% to 12.55%</c:v>
                </c:pt>
                <c:pt idx="25">
                  <c:v>12.55% to 13.61%</c:v>
                </c:pt>
                <c:pt idx="26">
                  <c:v>13.61% to 14.67%</c:v>
                </c:pt>
                <c:pt idx="27">
                  <c:v>14.67% to 15.72%</c:v>
                </c:pt>
                <c:pt idx="28">
                  <c:v>15.72% to 16.78%</c:v>
                </c:pt>
                <c:pt idx="29">
                  <c:v>16.78% to 17.84%</c:v>
                </c:pt>
              </c:strCache>
            </c:strRef>
          </c:cat>
          <c:val>
            <c:numRef>
              <c:f>'Histogram Data'!$C$2:$C$31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4</c:v>
                </c:pt>
                <c:pt idx="14">
                  <c:v>2</c:v>
                </c:pt>
                <c:pt idx="15">
                  <c:v>7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3</c:v>
                </c:pt>
                <c:pt idx="22">
                  <c:v>1</c:v>
                </c:pt>
                <c:pt idx="23">
                  <c:v>4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F-4575-B9BE-6FF43061D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Monthly Net Return (%)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Q-Q Plot of Portfolio Net Returns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Q-Q Plot</c:v>
          </c:tx>
          <c:marker>
            <c:symbol val="circle"/>
            <c:size val="3"/>
          </c:marker>
          <c:xVal>
            <c:numRef>
              <c:f>'Q-Q Plot Data'!$A$2:$A$66</c:f>
              <c:numCache>
                <c:formatCode>General</c:formatCode>
                <c:ptCount val="65"/>
                <c:pt idx="0">
                  <c:v>-2.304148802718514</c:v>
                </c:pt>
                <c:pt idx="1">
                  <c:v>-1.947455499080504</c:v>
                </c:pt>
                <c:pt idx="2">
                  <c:v>-1.738756719768126</c:v>
                </c:pt>
                <c:pt idx="3">
                  <c:v>-1.586283652421818</c:v>
                </c:pt>
                <c:pt idx="4">
                  <c:v>-1.463712957950456</c:v>
                </c:pt>
                <c:pt idx="5">
                  <c:v>-1.359873974586397</c:v>
                </c:pt>
                <c:pt idx="6">
                  <c:v>-1.2689266605901199</c:v>
                </c:pt>
                <c:pt idx="7">
                  <c:v>-1.1874132984385379</c:v>
                </c:pt>
                <c:pt idx="8">
                  <c:v>-1.113107992275536</c:v>
                </c:pt>
                <c:pt idx="9">
                  <c:v>-1.044488437267016</c:v>
                </c:pt>
                <c:pt idx="10">
                  <c:v>-0.98046450857737233</c:v>
                </c:pt>
                <c:pt idx="11">
                  <c:v>-0.92022671772725784</c:v>
                </c:pt>
                <c:pt idx="12">
                  <c:v>-0.86315598573862384</c:v>
                </c:pt>
                <c:pt idx="13">
                  <c:v>-0.8087670992647793</c:v>
                </c:pt>
                <c:pt idx="14">
                  <c:v>-0.75667175824250199</c:v>
                </c:pt>
                <c:pt idx="15">
                  <c:v>-0.7065535665479824</c:v>
                </c:pt>
                <c:pt idx="16">
                  <c:v>-0.65815059471823945</c:v>
                </c:pt>
                <c:pt idx="17">
                  <c:v>-0.611242906249992</c:v>
                </c:pt>
                <c:pt idx="18">
                  <c:v>-0.56564343211299073</c:v>
                </c:pt>
                <c:pt idx="19">
                  <c:v>-0.52119116059567572</c:v>
                </c:pt>
                <c:pt idx="20">
                  <c:v>-0.47774596328597341</c:v>
                </c:pt>
                <c:pt idx="21">
                  <c:v>-0.43518459935774467</c:v>
                </c:pt>
                <c:pt idx="22">
                  <c:v>-0.39339758263370561</c:v>
                </c:pt>
                <c:pt idx="23">
                  <c:v>-0.35228668955786763</c:v>
                </c:pt>
                <c:pt idx="24">
                  <c:v>-0.31176294916661168</c:v>
                </c:pt>
                <c:pt idx="25">
                  <c:v>-0.27174499925836609</c:v>
                </c:pt>
                <c:pt idx="26">
                  <c:v>-0.23215772296907561</c:v>
                </c:pt>
                <c:pt idx="27">
                  <c:v>-0.1929311011416025</c:v>
                </c:pt>
                <c:pt idx="28">
                  <c:v>-0.15399923099930191</c:v>
                </c:pt>
                <c:pt idx="29">
                  <c:v>-0.1152994725183529</c:v>
                </c:pt>
                <c:pt idx="30">
                  <c:v>-7.6771691755402632E-2</c:v>
                </c:pt>
                <c:pt idx="31">
                  <c:v>-3.8357576046029788E-2</c:v>
                </c:pt>
                <c:pt idx="32">
                  <c:v>0</c:v>
                </c:pt>
                <c:pt idx="33">
                  <c:v>3.8357576046029788E-2</c:v>
                </c:pt>
                <c:pt idx="34">
                  <c:v>7.6771691755402771E-2</c:v>
                </c:pt>
                <c:pt idx="35">
                  <c:v>0.1152994725183529</c:v>
                </c:pt>
                <c:pt idx="36">
                  <c:v>0.15399923099930199</c:v>
                </c:pt>
                <c:pt idx="37">
                  <c:v>0.1929311011416025</c:v>
                </c:pt>
                <c:pt idx="38">
                  <c:v>0.23215772296907569</c:v>
                </c:pt>
                <c:pt idx="39">
                  <c:v>0.27174499925836609</c:v>
                </c:pt>
                <c:pt idx="40">
                  <c:v>0.31176294916661179</c:v>
                </c:pt>
                <c:pt idx="41">
                  <c:v>0.35228668955786768</c:v>
                </c:pt>
                <c:pt idx="42">
                  <c:v>0.39339758263370578</c:v>
                </c:pt>
                <c:pt idx="43">
                  <c:v>0.43518459935774478</c:v>
                </c:pt>
                <c:pt idx="44">
                  <c:v>0.47774596328597368</c:v>
                </c:pt>
                <c:pt idx="45">
                  <c:v>0.52119116059567583</c:v>
                </c:pt>
                <c:pt idx="46">
                  <c:v>0.56564343211299106</c:v>
                </c:pt>
                <c:pt idx="47">
                  <c:v>0.61124290624999222</c:v>
                </c:pt>
                <c:pt idx="48">
                  <c:v>0.65815059471823989</c:v>
                </c:pt>
                <c:pt idx="49">
                  <c:v>0.7065535665479824</c:v>
                </c:pt>
                <c:pt idx="50">
                  <c:v>0.75667175824250199</c:v>
                </c:pt>
                <c:pt idx="51">
                  <c:v>0.8087670992647793</c:v>
                </c:pt>
                <c:pt idx="52">
                  <c:v>0.86315598573862384</c:v>
                </c:pt>
                <c:pt idx="53">
                  <c:v>0.92022671772725806</c:v>
                </c:pt>
                <c:pt idx="54">
                  <c:v>0.98046450857737233</c:v>
                </c:pt>
                <c:pt idx="55">
                  <c:v>1.044488437267016</c:v>
                </c:pt>
                <c:pt idx="56">
                  <c:v>1.113107992275536</c:v>
                </c:pt>
                <c:pt idx="57">
                  <c:v>1.187413298438539</c:v>
                </c:pt>
                <c:pt idx="58">
                  <c:v>1.2689266605901199</c:v>
                </c:pt>
                <c:pt idx="59">
                  <c:v>1.359873974586397</c:v>
                </c:pt>
                <c:pt idx="60">
                  <c:v>1.463712957950456</c:v>
                </c:pt>
                <c:pt idx="61">
                  <c:v>1.5862836524218189</c:v>
                </c:pt>
                <c:pt idx="62">
                  <c:v>1.738756719768126</c:v>
                </c:pt>
                <c:pt idx="63">
                  <c:v>1.9474554990805051</c:v>
                </c:pt>
                <c:pt idx="64">
                  <c:v>2.304148802718514</c:v>
                </c:pt>
              </c:numCache>
            </c:numRef>
          </c:xVal>
          <c:yVal>
            <c:numRef>
              <c:f>'Q-Q Plot Data'!$B$2:$B$66</c:f>
              <c:numCache>
                <c:formatCode>General</c:formatCode>
                <c:ptCount val="65"/>
                <c:pt idx="0">
                  <c:v>-13.911583008133039</c:v>
                </c:pt>
                <c:pt idx="1">
                  <c:v>-11.863056261536171</c:v>
                </c:pt>
                <c:pt idx="2">
                  <c:v>-10.2771492482317</c:v>
                </c:pt>
                <c:pt idx="3">
                  <c:v>-8.1832598428729479</c:v>
                </c:pt>
                <c:pt idx="4">
                  <c:v>-7.0707471400221991</c:v>
                </c:pt>
                <c:pt idx="5">
                  <c:v>-7.059666790123913</c:v>
                </c:pt>
                <c:pt idx="6">
                  <c:v>-6.1145567319632468</c:v>
                </c:pt>
                <c:pt idx="7">
                  <c:v>-6.0615030423649223</c:v>
                </c:pt>
                <c:pt idx="8">
                  <c:v>-5.8128914686162689</c:v>
                </c:pt>
                <c:pt idx="9">
                  <c:v>-4.9308093240803377</c:v>
                </c:pt>
                <c:pt idx="10">
                  <c:v>-4.3571222824896756</c:v>
                </c:pt>
                <c:pt idx="11">
                  <c:v>-3.6903567945871298</c:v>
                </c:pt>
                <c:pt idx="12">
                  <c:v>-3.6416398030073029</c:v>
                </c:pt>
                <c:pt idx="13">
                  <c:v>-2.611894244253163</c:v>
                </c:pt>
                <c:pt idx="14">
                  <c:v>-1.6273877823394469</c:v>
                </c:pt>
                <c:pt idx="15">
                  <c:v>-1.0078000451796869</c:v>
                </c:pt>
                <c:pt idx="16">
                  <c:v>-0.94634258160623208</c:v>
                </c:pt>
                <c:pt idx="17">
                  <c:v>-0.75471292717250793</c:v>
                </c:pt>
                <c:pt idx="18">
                  <c:v>0.1758224003782235</c:v>
                </c:pt>
                <c:pt idx="19">
                  <c:v>0.25309779758864898</c:v>
                </c:pt>
                <c:pt idx="20">
                  <c:v>0.36566477712801648</c:v>
                </c:pt>
                <c:pt idx="21">
                  <c:v>0.82777274738065276</c:v>
                </c:pt>
                <c:pt idx="22">
                  <c:v>1.127794720151839</c:v>
                </c:pt>
                <c:pt idx="23">
                  <c:v>1.623572732037267</c:v>
                </c:pt>
                <c:pt idx="24">
                  <c:v>2.065791595550782</c:v>
                </c:pt>
                <c:pt idx="25">
                  <c:v>2.2951016556302242</c:v>
                </c:pt>
                <c:pt idx="26">
                  <c:v>2.3336392550301981</c:v>
                </c:pt>
                <c:pt idx="27">
                  <c:v>2.3857911310369322</c:v>
                </c:pt>
                <c:pt idx="28">
                  <c:v>2.4279456828328079</c:v>
                </c:pt>
                <c:pt idx="29">
                  <c:v>2.5103771770021281</c:v>
                </c:pt>
                <c:pt idx="30">
                  <c:v>2.8909052583333792</c:v>
                </c:pt>
                <c:pt idx="31">
                  <c:v>3.2385363220587871</c:v>
                </c:pt>
                <c:pt idx="32">
                  <c:v>3.564267589214456</c:v>
                </c:pt>
                <c:pt idx="33">
                  <c:v>3.6965777844213941</c:v>
                </c:pt>
                <c:pt idx="34">
                  <c:v>3.766011316095506</c:v>
                </c:pt>
                <c:pt idx="35">
                  <c:v>4.0133925517296261</c:v>
                </c:pt>
                <c:pt idx="36">
                  <c:v>4.3859579916920328</c:v>
                </c:pt>
                <c:pt idx="37">
                  <c:v>4.6456437839817148</c:v>
                </c:pt>
                <c:pt idx="38">
                  <c:v>4.7184812852076892</c:v>
                </c:pt>
                <c:pt idx="39">
                  <c:v>5.0538644668217181</c:v>
                </c:pt>
                <c:pt idx="40">
                  <c:v>5.1475583384288957</c:v>
                </c:pt>
                <c:pt idx="41">
                  <c:v>5.2986584930463829</c:v>
                </c:pt>
                <c:pt idx="42">
                  <c:v>5.3899078845695536</c:v>
                </c:pt>
                <c:pt idx="43">
                  <c:v>5.3929565088230467</c:v>
                </c:pt>
                <c:pt idx="44">
                  <c:v>5.7881663160725916</c:v>
                </c:pt>
                <c:pt idx="45">
                  <c:v>6.3299791587623124</c:v>
                </c:pt>
                <c:pt idx="46">
                  <c:v>6.424166037547578</c:v>
                </c:pt>
                <c:pt idx="47">
                  <c:v>6.671830710151232</c:v>
                </c:pt>
                <c:pt idx="48">
                  <c:v>7.0202792669974379</c:v>
                </c:pt>
                <c:pt idx="49">
                  <c:v>7.0271298710119829</c:v>
                </c:pt>
                <c:pt idx="50">
                  <c:v>7.2838900793066932</c:v>
                </c:pt>
                <c:pt idx="51">
                  <c:v>7.7126204712883419</c:v>
                </c:pt>
                <c:pt idx="52">
                  <c:v>7.9181372837170336</c:v>
                </c:pt>
                <c:pt idx="53">
                  <c:v>8.1044749259460627</c:v>
                </c:pt>
                <c:pt idx="54">
                  <c:v>8.1512473929645441</c:v>
                </c:pt>
                <c:pt idx="55">
                  <c:v>8.467711638795107</c:v>
                </c:pt>
                <c:pt idx="56">
                  <c:v>9.1865835159507796</c:v>
                </c:pt>
                <c:pt idx="57">
                  <c:v>9.2391041829478251</c:v>
                </c:pt>
                <c:pt idx="58">
                  <c:v>9.7934159821528119</c:v>
                </c:pt>
                <c:pt idx="59">
                  <c:v>10.441154446230531</c:v>
                </c:pt>
                <c:pt idx="60">
                  <c:v>11.038550751626261</c:v>
                </c:pt>
                <c:pt idx="61">
                  <c:v>11.1546742783244</c:v>
                </c:pt>
                <c:pt idx="62">
                  <c:v>11.40077177190636</c:v>
                </c:pt>
                <c:pt idx="63">
                  <c:v>12.841692123206901</c:v>
                </c:pt>
                <c:pt idx="64">
                  <c:v>17.840922559272759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2C-4BA9-8CDE-FD03D4A85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Theoretical Quantiles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min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Ordered Returns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min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Final Risk Contribution by Asset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Final Risk Contribution</c:v>
          </c:tx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'Final Risk Contribution'!$B$2:$B$25</c:f>
              <c:strCache>
                <c:ptCount val="24"/>
                <c:pt idx="0">
                  <c:v>NVDA</c:v>
                </c:pt>
                <c:pt idx="1">
                  <c:v>AVGO</c:v>
                </c:pt>
                <c:pt idx="2">
                  <c:v>LMT</c:v>
                </c:pt>
                <c:pt idx="3">
                  <c:v>AMD</c:v>
                </c:pt>
                <c:pt idx="4">
                  <c:v>MSFT</c:v>
                </c:pt>
                <c:pt idx="5">
                  <c:v>TEL</c:v>
                </c:pt>
                <c:pt idx="6">
                  <c:v>NET</c:v>
                </c:pt>
                <c:pt idx="7">
                  <c:v>NOW</c:v>
                </c:pt>
                <c:pt idx="8">
                  <c:v>DLR</c:v>
                </c:pt>
                <c:pt idx="9">
                  <c:v>RTX</c:v>
                </c:pt>
                <c:pt idx="10">
                  <c:v>GD</c:v>
                </c:pt>
                <c:pt idx="11">
                  <c:v>ADBE</c:v>
                </c:pt>
                <c:pt idx="12">
                  <c:v>SRE</c:v>
                </c:pt>
                <c:pt idx="13">
                  <c:v>MU</c:v>
                </c:pt>
                <c:pt idx="14">
                  <c:v>VRT</c:v>
                </c:pt>
                <c:pt idx="15">
                  <c:v>MRVL</c:v>
                </c:pt>
                <c:pt idx="16">
                  <c:v>IRM</c:v>
                </c:pt>
                <c:pt idx="17">
                  <c:v>CRWD</c:v>
                </c:pt>
                <c:pt idx="18">
                  <c:v>CRM</c:v>
                </c:pt>
                <c:pt idx="19">
                  <c:v>CDNS</c:v>
                </c:pt>
                <c:pt idx="20">
                  <c:v>EQIX</c:v>
                </c:pt>
                <c:pt idx="21">
                  <c:v>ETN</c:v>
                </c:pt>
                <c:pt idx="22">
                  <c:v>NEE</c:v>
                </c:pt>
                <c:pt idx="23">
                  <c:v>SO</c:v>
                </c:pt>
              </c:strCache>
            </c:strRef>
          </c:cat>
          <c:val>
            <c:numRef>
              <c:f>'Final Risk Contribution'!$F$2:$F$25</c:f>
              <c:numCache>
                <c:formatCode>General</c:formatCode>
                <c:ptCount val="24"/>
                <c:pt idx="0">
                  <c:v>49.719399114872182</c:v>
                </c:pt>
                <c:pt idx="1">
                  <c:v>17.380400734499251</c:v>
                </c:pt>
                <c:pt idx="2">
                  <c:v>8.0552173628893353</c:v>
                </c:pt>
                <c:pt idx="3">
                  <c:v>7.9454122880153202</c:v>
                </c:pt>
                <c:pt idx="4">
                  <c:v>7.5778288724474869</c:v>
                </c:pt>
                <c:pt idx="5">
                  <c:v>5.7377685655983406</c:v>
                </c:pt>
                <c:pt idx="6">
                  <c:v>1.4323032661106381</c:v>
                </c:pt>
                <c:pt idx="7">
                  <c:v>1.0809555257516501</c:v>
                </c:pt>
                <c:pt idx="8">
                  <c:v>0.75063560149946773</c:v>
                </c:pt>
                <c:pt idx="9">
                  <c:v>0.57194975403516313</c:v>
                </c:pt>
                <c:pt idx="10">
                  <c:v>0.3772636695496675</c:v>
                </c:pt>
                <c:pt idx="11">
                  <c:v>0.32285619636812929</c:v>
                </c:pt>
                <c:pt idx="12">
                  <c:v>9.3207847909133432E-2</c:v>
                </c:pt>
                <c:pt idx="13">
                  <c:v>7.3749548128649191E-15</c:v>
                </c:pt>
                <c:pt idx="14">
                  <c:v>7.2424318236982043E-16</c:v>
                </c:pt>
                <c:pt idx="15">
                  <c:v>4.3276673537738729E-16</c:v>
                </c:pt>
                <c:pt idx="16">
                  <c:v>3.9574031594996882E-16</c:v>
                </c:pt>
                <c:pt idx="17">
                  <c:v>6.0150125565895623E-17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-9.8727569551002842E-2</c:v>
                </c:pt>
                <c:pt idx="23">
                  <c:v>-0.94647122999481359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D-4569-9EE0-AF8D15F96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Asset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Contribution to Volatility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_xlchart.v1.5</cx:f>
      </cx:numDim>
    </cx:data>
  </cx:chartData>
  <cx:chart>
    <cx:title pos="t" align="ctr" overlay="0">
      <cx:tx>
        <cx:txData>
          <cx:v>Portfolio Weights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Portfolio Weights</a:t>
          </a:r>
        </a:p>
      </cx:txPr>
    </cx:title>
    <cx:plotArea>
      <cx:plotAreaRegion>
        <cx:series layoutId="clusteredColumn" uniqueId="{E38FBFCC-19FF-4E91-83A5-695C1BA11D81}">
          <cx:dataId val="0"/>
          <cx:layoutPr>
            <cx:aggregation/>
          </cx:layoutPr>
          <cx:axisId val="1"/>
        </cx:series>
        <cx:series layoutId="paretoLine" ownerIdx="0" uniqueId="{9D613B34-1BF0-4BE3-B280-D79DE84E2606}">
          <cx:axisId val="2"/>
        </cx:series>
      </cx:plotAreaRegion>
      <cx:axis id="0">
        <cx:catScaling gapWidth="0"/>
        <cx:title>
          <cx:tx>
            <cx:txData>
              <cx:v>Asset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Asset</a:t>
              </a:r>
            </a:p>
          </cx:txPr>
        </cx:title>
        <cx:tickLabels/>
      </cx:axis>
      <cx:axis id="1">
        <cx:valScaling/>
        <cx:title>
          <cx:tx>
            <cx:txData>
              <cx:v>Portfolio Weight per Asset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Portfolio Weight per Asset</a:t>
              </a:r>
            </a:p>
          </cx:txPr>
        </cx:title>
        <cx:majorGridlines/>
        <cx:minorGridlines/>
        <cx:tickLabels/>
      </cx:axis>
      <cx:axis id="2">
        <cx:valScaling max="1" min="0"/>
        <cx:title>
          <cx:tx>
            <cx:txData>
              <cx:v>Total Portfolio Weight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Total Portfolio Weight</a:t>
              </a:r>
            </a:p>
          </cx:txPr>
        </cx:title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603250</xdr:colOff>
      <xdr:row>21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6753F4-60B2-46CE-841D-0D9629FB2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24</xdr:col>
      <xdr:colOff>25400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556C3A-3046-4F86-9BA4-87737FB83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10</xdr:col>
      <xdr:colOff>596900</xdr:colOff>
      <xdr:row>42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F66B66-1AF2-44F9-8135-BAB83BEA8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23</xdr:row>
      <xdr:rowOff>0</xdr:rowOff>
    </xdr:from>
    <xdr:to>
      <xdr:col>24</xdr:col>
      <xdr:colOff>25400</xdr:colOff>
      <xdr:row>43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38DE04-5AA1-415C-A390-10A440410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10</xdr:col>
      <xdr:colOff>571500</xdr:colOff>
      <xdr:row>63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85825A-D8C4-47FD-9D4F-537637CEC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606424</xdr:colOff>
      <xdr:row>43</xdr:row>
      <xdr:rowOff>25400</xdr:rowOff>
    </xdr:from>
    <xdr:to>
      <xdr:col>13</xdr:col>
      <xdr:colOff>590549</xdr:colOff>
      <xdr:row>64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557C12-D2FD-2D53-67B0-491C6FDA9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22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8F816FA-149B-4807-B133-23D33914EF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7924800" cy="4229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zoomScale="90" zoomScaleNormal="90" workbookViewId="0">
      <selection activeCell="M9" sqref="M9"/>
    </sheetView>
  </sheetViews>
  <sheetFormatPr defaultRowHeight="14.5" x14ac:dyDescent="0.35"/>
  <cols>
    <col min="1" max="1" width="38.7265625" style="1" customWidth="1"/>
    <col min="2" max="2" width="24.7265625" style="2" customWidth="1"/>
  </cols>
  <sheetData>
    <row r="1" spans="1:2" ht="18.5" x14ac:dyDescent="0.45">
      <c r="A1" s="8" t="s">
        <v>25</v>
      </c>
      <c r="B1" s="8"/>
    </row>
    <row r="3" spans="1:2" x14ac:dyDescent="0.35">
      <c r="A3" s="3" t="s">
        <v>0</v>
      </c>
      <c r="B3" s="3" t="s">
        <v>1</v>
      </c>
    </row>
    <row r="4" spans="1:2" x14ac:dyDescent="0.35">
      <c r="A4" s="1" t="s">
        <v>2</v>
      </c>
      <c r="B4" s="2">
        <v>371.07946270899657</v>
      </c>
    </row>
    <row r="5" spans="1:2" x14ac:dyDescent="0.35">
      <c r="A5" s="1" t="s">
        <v>3</v>
      </c>
      <c r="B5" s="2">
        <v>33.126201145768249</v>
      </c>
    </row>
    <row r="6" spans="1:2" x14ac:dyDescent="0.35">
      <c r="A6" s="1" t="s">
        <v>4</v>
      </c>
      <c r="B6" s="2">
        <v>21.825032097631471</v>
      </c>
    </row>
    <row r="7" spans="1:2" x14ac:dyDescent="0.35">
      <c r="A7" s="1" t="s">
        <v>5</v>
      </c>
      <c r="B7" s="2">
        <v>1.3047303684437039</v>
      </c>
    </row>
    <row r="8" spans="1:2" x14ac:dyDescent="0.35">
      <c r="A8" s="1" t="s">
        <v>6</v>
      </c>
      <c r="B8" s="2">
        <v>2.1158440657441848</v>
      </c>
    </row>
    <row r="9" spans="1:2" x14ac:dyDescent="0.35">
      <c r="A9" s="1" t="s">
        <v>7</v>
      </c>
      <c r="B9" s="2">
        <v>7.9607573023027971</v>
      </c>
    </row>
    <row r="10" spans="1:2" x14ac:dyDescent="0.35">
      <c r="A10" s="1" t="s">
        <v>8</v>
      </c>
      <c r="B10" s="2">
        <v>11.05876209019346</v>
      </c>
    </row>
    <row r="11" spans="1:2" x14ac:dyDescent="0.35">
      <c r="A11" s="1" t="s">
        <v>9</v>
      </c>
      <c r="B11" s="2">
        <v>0.33450591576753241</v>
      </c>
    </row>
    <row r="12" spans="1:2" x14ac:dyDescent="0.35">
      <c r="A12" s="1" t="s">
        <v>10</v>
      </c>
      <c r="B12" s="2">
        <v>1.7603240495079251</v>
      </c>
    </row>
    <row r="13" spans="1:2" x14ac:dyDescent="0.35">
      <c r="A13" s="1" t="s">
        <v>11</v>
      </c>
      <c r="B13" s="2">
        <v>23.293952577619748</v>
      </c>
    </row>
    <row r="14" spans="1:2" x14ac:dyDescent="0.35">
      <c r="A14" s="1" t="s">
        <v>12</v>
      </c>
      <c r="B14" s="2">
        <v>0.50241375775483044</v>
      </c>
    </row>
    <row r="15" spans="1:2" x14ac:dyDescent="0.35">
      <c r="A15" s="1" t="s">
        <v>13</v>
      </c>
      <c r="B15" s="2">
        <v>24.735161100903071</v>
      </c>
    </row>
    <row r="16" spans="1:2" x14ac:dyDescent="0.35">
      <c r="A16" s="1" t="s">
        <v>14</v>
      </c>
      <c r="B16" s="2">
        <v>-9.5179129705903601E-2</v>
      </c>
    </row>
    <row r="17" spans="1:2" x14ac:dyDescent="0.35">
      <c r="A17" s="1" t="s">
        <v>15</v>
      </c>
      <c r="B17" s="2">
        <v>49.589308832178787</v>
      </c>
    </row>
    <row r="18" spans="1:2" x14ac:dyDescent="0.35">
      <c r="A18" s="1" t="s">
        <v>16</v>
      </c>
      <c r="B18" s="2">
        <v>-34.680092173256</v>
      </c>
    </row>
    <row r="19" spans="1:2" x14ac:dyDescent="0.35">
      <c r="A19" s="1" t="s">
        <v>17</v>
      </c>
      <c r="B19" s="2">
        <v>-0.43764463714639279</v>
      </c>
    </row>
    <row r="20" spans="1:2" x14ac:dyDescent="0.35">
      <c r="A20" s="1" t="s">
        <v>18</v>
      </c>
      <c r="B20" s="2">
        <v>3.0414248863506219</v>
      </c>
    </row>
    <row r="21" spans="1:2" x14ac:dyDescent="0.35">
      <c r="A21" s="1" t="s">
        <v>19</v>
      </c>
      <c r="B21" s="2">
        <v>4.1424886350621908E-2</v>
      </c>
    </row>
    <row r="22" spans="1:2" x14ac:dyDescent="0.35">
      <c r="A22" s="1" t="s">
        <v>20</v>
      </c>
      <c r="B22" s="2">
        <v>-30.264622675667528</v>
      </c>
    </row>
    <row r="23" spans="1:2" x14ac:dyDescent="0.35">
      <c r="A23" s="1" t="s">
        <v>21</v>
      </c>
      <c r="B23" s="2">
        <v>0</v>
      </c>
    </row>
    <row r="24" spans="1:2" x14ac:dyDescent="0.35">
      <c r="A24" s="1" t="s">
        <v>22</v>
      </c>
      <c r="B24" s="2">
        <v>-13.911583008133039</v>
      </c>
    </row>
    <row r="25" spans="1:2" x14ac:dyDescent="0.35">
      <c r="A25" s="1" t="s">
        <v>23</v>
      </c>
      <c r="B25" s="2">
        <v>5</v>
      </c>
    </row>
    <row r="26" spans="1:2" x14ac:dyDescent="0.35">
      <c r="A26" s="1" t="s">
        <v>24</v>
      </c>
      <c r="B26" s="2">
        <v>10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topLeftCell="A33" workbookViewId="0">
      <selection activeCell="F51" sqref="F51"/>
    </sheetView>
  </sheetViews>
  <sheetFormatPr defaultRowHeight="14.5" x14ac:dyDescent="0.35"/>
  <cols>
    <col min="1" max="1" width="17.81640625" bestFit="1" customWidth="1"/>
    <col min="2" max="2" width="15.7265625" bestFit="1" customWidth="1"/>
    <col min="3" max="3" width="17.36328125" bestFit="1" customWidth="1"/>
  </cols>
  <sheetData>
    <row r="1" spans="1:3" x14ac:dyDescent="0.35">
      <c r="A1" t="s">
        <v>28</v>
      </c>
      <c r="B1" t="s">
        <v>26</v>
      </c>
      <c r="C1" t="s">
        <v>27</v>
      </c>
    </row>
    <row r="2" spans="1:3" x14ac:dyDescent="0.35">
      <c r="A2" s="4">
        <v>44561</v>
      </c>
      <c r="B2" s="5">
        <v>41.079984379795611</v>
      </c>
      <c r="C2" s="5">
        <v>15.20462298801743</v>
      </c>
    </row>
    <row r="3" spans="1:3" x14ac:dyDescent="0.35">
      <c r="A3" s="4">
        <v>44592</v>
      </c>
      <c r="B3" s="5">
        <v>37.720718885294637</v>
      </c>
      <c r="C3" s="5">
        <v>16.276830885340029</v>
      </c>
    </row>
    <row r="4" spans="1:3" x14ac:dyDescent="0.35">
      <c r="A4" s="4">
        <v>44620</v>
      </c>
      <c r="B4" s="5">
        <v>41.137845108766832</v>
      </c>
      <c r="C4" s="5">
        <v>16.424894267953789</v>
      </c>
    </row>
    <row r="5" spans="1:3" x14ac:dyDescent="0.35">
      <c r="A5" s="4">
        <v>44651</v>
      </c>
      <c r="B5" s="5">
        <v>41.569050790881889</v>
      </c>
      <c r="C5" s="5">
        <v>16.44227004065176</v>
      </c>
    </row>
    <row r="6" spans="1:3" x14ac:dyDescent="0.35">
      <c r="A6" s="4">
        <v>44680</v>
      </c>
      <c r="B6" s="5">
        <v>16.970557096441489</v>
      </c>
      <c r="C6" s="5">
        <v>21.612507049231631</v>
      </c>
    </row>
    <row r="7" spans="1:3" x14ac:dyDescent="0.35">
      <c r="A7" s="4">
        <v>44712</v>
      </c>
      <c r="B7" s="5">
        <v>16.051980124691951</v>
      </c>
      <c r="C7" s="5">
        <v>21.589682801436911</v>
      </c>
    </row>
    <row r="8" spans="1:3" x14ac:dyDescent="0.35">
      <c r="A8" s="4">
        <v>44742</v>
      </c>
      <c r="B8" s="5">
        <v>-2.7114479784333461</v>
      </c>
      <c r="C8" s="5">
        <v>23.542484782766561</v>
      </c>
    </row>
    <row r="9" spans="1:3" x14ac:dyDescent="0.35">
      <c r="A9" s="4">
        <v>44771</v>
      </c>
      <c r="B9" s="5">
        <v>4.3498143673884604</v>
      </c>
      <c r="C9" s="5">
        <v>25.027389934049609</v>
      </c>
    </row>
    <row r="10" spans="1:3" x14ac:dyDescent="0.35">
      <c r="A10" s="4">
        <v>44804</v>
      </c>
      <c r="B10" s="5">
        <v>-7.3979094594777699</v>
      </c>
      <c r="C10" s="5">
        <v>25.679200793473029</v>
      </c>
    </row>
    <row r="11" spans="1:3" x14ac:dyDescent="0.35">
      <c r="A11" s="4">
        <v>44834</v>
      </c>
      <c r="B11" s="5">
        <v>-15.08835547581478</v>
      </c>
      <c r="C11" s="5">
        <v>28.595951528437411</v>
      </c>
    </row>
    <row r="12" spans="1:3" x14ac:dyDescent="0.35">
      <c r="A12" s="4">
        <v>44865</v>
      </c>
      <c r="B12" s="5">
        <v>-7.4808033383263028</v>
      </c>
      <c r="C12" s="5">
        <v>33.253056721572378</v>
      </c>
    </row>
    <row r="13" spans="1:3" x14ac:dyDescent="0.35">
      <c r="A13" s="4">
        <v>44895</v>
      </c>
      <c r="B13" s="5">
        <v>-4.8703471668004479</v>
      </c>
      <c r="C13" s="5">
        <v>34.21256994864931</v>
      </c>
    </row>
    <row r="14" spans="1:3" x14ac:dyDescent="0.35">
      <c r="A14" s="4">
        <v>44925</v>
      </c>
      <c r="B14" s="5">
        <v>-10.626333422198391</v>
      </c>
      <c r="C14" s="5">
        <v>34.703555391508083</v>
      </c>
    </row>
    <row r="15" spans="1:3" x14ac:dyDescent="0.35">
      <c r="A15" s="4">
        <v>44957</v>
      </c>
      <c r="B15" s="5">
        <v>4.3863142370455188</v>
      </c>
      <c r="C15" s="5">
        <v>36.112905821515682</v>
      </c>
    </row>
    <row r="16" spans="1:3" x14ac:dyDescent="0.35">
      <c r="A16" s="4">
        <v>44985</v>
      </c>
      <c r="B16" s="5">
        <v>9.0957489287913482</v>
      </c>
      <c r="C16" s="5">
        <v>37.013881980268081</v>
      </c>
    </row>
    <row r="17" spans="1:3" x14ac:dyDescent="0.35">
      <c r="A17" s="4">
        <v>45016</v>
      </c>
      <c r="B17" s="5">
        <v>12.975730443112621</v>
      </c>
      <c r="C17" s="5">
        <v>37.496897859850428</v>
      </c>
    </row>
    <row r="18" spans="1:3" x14ac:dyDescent="0.35">
      <c r="A18" s="4">
        <v>45044</v>
      </c>
      <c r="B18" s="5">
        <v>26.890219057888689</v>
      </c>
      <c r="C18" s="5">
        <v>34.727322621070627</v>
      </c>
    </row>
    <row r="19" spans="1:3" x14ac:dyDescent="0.35">
      <c r="A19" s="4">
        <v>45077</v>
      </c>
      <c r="B19" s="5">
        <v>37.900114155998047</v>
      </c>
      <c r="C19" s="5">
        <v>35.603300671138967</v>
      </c>
    </row>
    <row r="20" spans="1:3" x14ac:dyDescent="0.35">
      <c r="A20" s="4">
        <v>45107</v>
      </c>
      <c r="B20" s="5">
        <v>64.485508477168807</v>
      </c>
      <c r="C20" s="5">
        <v>32.531037729138802</v>
      </c>
    </row>
    <row r="21" spans="1:3" x14ac:dyDescent="0.35">
      <c r="A21" s="4">
        <v>45138</v>
      </c>
      <c r="B21" s="5">
        <v>54.777337652565578</v>
      </c>
      <c r="C21" s="5">
        <v>32.338402093370853</v>
      </c>
    </row>
    <row r="22" spans="1:3" x14ac:dyDescent="0.35">
      <c r="A22" s="4">
        <v>45169</v>
      </c>
      <c r="B22" s="5">
        <v>67.932634202835885</v>
      </c>
      <c r="C22" s="5">
        <v>30.258212337527461</v>
      </c>
    </row>
    <row r="23" spans="1:3" x14ac:dyDescent="0.35">
      <c r="A23" s="4">
        <v>45198</v>
      </c>
      <c r="B23" s="5">
        <v>79.106871484933095</v>
      </c>
      <c r="C23" s="5">
        <v>26.738885285188459</v>
      </c>
    </row>
    <row r="24" spans="1:3" x14ac:dyDescent="0.35">
      <c r="A24" s="4">
        <v>45230</v>
      </c>
      <c r="B24" s="5">
        <v>57.714359745850309</v>
      </c>
      <c r="C24" s="5">
        <v>22.93772911340567</v>
      </c>
    </row>
    <row r="25" spans="1:3" x14ac:dyDescent="0.35">
      <c r="A25" s="4">
        <v>45260</v>
      </c>
      <c r="B25" s="5">
        <v>52.222208780306353</v>
      </c>
      <c r="C25" s="5">
        <v>21.937939426086409</v>
      </c>
    </row>
    <row r="26" spans="1:3" x14ac:dyDescent="0.35">
      <c r="A26" s="4">
        <v>45289</v>
      </c>
      <c r="B26" s="5">
        <v>69.124960776633799</v>
      </c>
      <c r="C26" s="5">
        <v>19.301443059091731</v>
      </c>
    </row>
    <row r="27" spans="1:3" x14ac:dyDescent="0.35">
      <c r="A27" s="4">
        <v>45322</v>
      </c>
      <c r="B27" s="5">
        <v>60.526047170397867</v>
      </c>
      <c r="C27" s="5">
        <v>18.036630257338441</v>
      </c>
    </row>
    <row r="28" spans="1:3" x14ac:dyDescent="0.35">
      <c r="A28" s="4">
        <v>45351</v>
      </c>
      <c r="B28" s="5">
        <v>59.715602561945623</v>
      </c>
      <c r="C28" s="5">
        <v>17.854912985641221</v>
      </c>
    </row>
    <row r="29" spans="1:3" x14ac:dyDescent="0.35">
      <c r="A29" s="4">
        <v>45379</v>
      </c>
      <c r="B29" s="5">
        <v>57.665430637885898</v>
      </c>
      <c r="C29" s="5">
        <v>17.601493424680779</v>
      </c>
    </row>
    <row r="30" spans="1:3" x14ac:dyDescent="0.35">
      <c r="A30" s="4">
        <v>45412</v>
      </c>
      <c r="B30" s="5">
        <v>56.678609782890973</v>
      </c>
      <c r="C30" s="5">
        <v>17.802978323491949</v>
      </c>
    </row>
    <row r="31" spans="1:3" x14ac:dyDescent="0.35">
      <c r="A31" s="4">
        <v>45443</v>
      </c>
      <c r="B31" s="5">
        <v>54.898798351039723</v>
      </c>
      <c r="C31" s="5">
        <v>17.34090314127301</v>
      </c>
    </row>
    <row r="32" spans="1:3" x14ac:dyDescent="0.35">
      <c r="A32" s="4">
        <v>45471</v>
      </c>
      <c r="B32" s="5">
        <v>51.085939677802969</v>
      </c>
      <c r="C32" s="5">
        <v>17.008939918858999</v>
      </c>
    </row>
    <row r="33" spans="1:3" x14ac:dyDescent="0.35">
      <c r="A33" s="4">
        <v>45504</v>
      </c>
      <c r="B33" s="5">
        <v>55.647817040794401</v>
      </c>
      <c r="C33" s="5">
        <v>16.98299704046492</v>
      </c>
    </row>
    <row r="34" spans="1:3" x14ac:dyDescent="0.35">
      <c r="A34" s="4">
        <v>45534</v>
      </c>
      <c r="B34" s="5">
        <v>59.369312394462817</v>
      </c>
      <c r="C34" s="5">
        <v>16.680891009798021</v>
      </c>
    </row>
    <row r="35" spans="1:3" x14ac:dyDescent="0.35">
      <c r="A35" s="4">
        <v>45565</v>
      </c>
      <c r="B35" s="5">
        <v>77.714359098272425</v>
      </c>
      <c r="C35" s="5">
        <v>10.366582839166609</v>
      </c>
    </row>
    <row r="36" spans="1:3" x14ac:dyDescent="0.35">
      <c r="A36" s="4">
        <v>45596</v>
      </c>
      <c r="B36" s="5">
        <v>69.643768910284592</v>
      </c>
      <c r="C36" s="5">
        <v>11.908977978886499</v>
      </c>
    </row>
    <row r="37" spans="1:3" x14ac:dyDescent="0.35">
      <c r="A37" s="4">
        <v>45625</v>
      </c>
      <c r="B37" s="5">
        <v>58.704253074640469</v>
      </c>
      <c r="C37" s="5">
        <v>12.185964953939839</v>
      </c>
    </row>
    <row r="38" spans="1:3" x14ac:dyDescent="0.35">
      <c r="A38" s="4">
        <v>45657</v>
      </c>
      <c r="B38" s="5">
        <v>46.061980567028968</v>
      </c>
      <c r="C38" s="5">
        <v>14.34768197721754</v>
      </c>
    </row>
    <row r="39" spans="1:3" x14ac:dyDescent="0.35">
      <c r="A39" s="4">
        <v>45688</v>
      </c>
      <c r="B39" s="5">
        <v>33.541115087569267</v>
      </c>
      <c r="C39" s="5">
        <v>15.68147171670795</v>
      </c>
    </row>
    <row r="40" spans="1:3" x14ac:dyDescent="0.35">
      <c r="A40" s="4">
        <v>45716</v>
      </c>
      <c r="B40" s="5">
        <v>22.461559239416111</v>
      </c>
      <c r="C40" s="5">
        <v>13.97873607125122</v>
      </c>
    </row>
    <row r="41" spans="1:3" x14ac:dyDescent="0.35">
      <c r="A41" s="4">
        <v>45747</v>
      </c>
      <c r="B41" s="5">
        <v>8.1901350969195477</v>
      </c>
      <c r="C41" s="5">
        <v>15.027593257912789</v>
      </c>
    </row>
    <row r="42" spans="1:3" x14ac:dyDescent="0.35">
      <c r="A42" s="4">
        <v>45777</v>
      </c>
      <c r="B42" s="5">
        <v>13.159350851770739</v>
      </c>
      <c r="C42" s="5">
        <v>14.92895912169188</v>
      </c>
    </row>
    <row r="43" spans="1:3" x14ac:dyDescent="0.35">
      <c r="A43" s="4">
        <v>45807</v>
      </c>
      <c r="B43" s="5">
        <v>15.45410262107529</v>
      </c>
      <c r="C43" s="5">
        <v>16.33239047074834</v>
      </c>
    </row>
    <row r="44" spans="1:3" x14ac:dyDescent="0.35">
      <c r="A44" s="4">
        <v>45838</v>
      </c>
      <c r="B44" s="5">
        <v>17.004988457578779</v>
      </c>
      <c r="C44" s="5">
        <v>16.677565461392319</v>
      </c>
    </row>
    <row r="45" spans="1:3" x14ac:dyDescent="0.35">
      <c r="A45" s="4">
        <v>45869</v>
      </c>
      <c r="B45" s="5">
        <v>13.83086186328935</v>
      </c>
      <c r="C45" s="5">
        <v>16.219926624438731</v>
      </c>
    </row>
    <row r="46" spans="1:3" x14ac:dyDescent="0.35">
      <c r="A46" s="4">
        <v>45898</v>
      </c>
      <c r="B46" s="5">
        <v>12.83312190389962</v>
      </c>
      <c r="C46" s="5">
        <v>16.11978223124542</v>
      </c>
    </row>
    <row r="47" spans="1:3" x14ac:dyDescent="0.35">
      <c r="A47" s="4">
        <v>45930</v>
      </c>
      <c r="B47" s="5">
        <v>18.929982424916702</v>
      </c>
      <c r="C47" s="5">
        <v>17.489364892414159</v>
      </c>
    </row>
    <row r="48" spans="1:3" x14ac:dyDescent="0.35">
      <c r="A48" s="4">
        <v>45961</v>
      </c>
      <c r="B48" s="5">
        <v>26.42811916624721</v>
      </c>
      <c r="C48" s="5">
        <v>17.623984076038191</v>
      </c>
    </row>
    <row r="49" spans="1:3" x14ac:dyDescent="0.35">
      <c r="A49" s="4">
        <v>45989</v>
      </c>
      <c r="B49" s="5">
        <v>17.074614595555062</v>
      </c>
      <c r="C49" s="5">
        <v>19.8410404829397</v>
      </c>
    </row>
    <row r="50" spans="1:3" x14ac:dyDescent="0.35">
      <c r="A50" s="4">
        <v>46022</v>
      </c>
      <c r="B50" s="5">
        <v>25.893382119774859</v>
      </c>
      <c r="C50" s="5">
        <v>19.094667709799001</v>
      </c>
    </row>
    <row r="51" spans="1:3" x14ac:dyDescent="0.35">
      <c r="A51" s="4">
        <v>46052</v>
      </c>
      <c r="B51" s="5">
        <v>47.429057909105367</v>
      </c>
      <c r="C51" s="5">
        <v>20.753492614247921</v>
      </c>
    </row>
    <row r="52" spans="1:3" x14ac:dyDescent="0.35">
      <c r="A52" s="4">
        <v>46080</v>
      </c>
      <c r="B52" s="5">
        <v>46.059586280076523</v>
      </c>
      <c r="C52" s="5">
        <v>20.933666901667749</v>
      </c>
    </row>
    <row r="53" spans="1:3" x14ac:dyDescent="0.35">
      <c r="A53" s="4">
        <v>46112</v>
      </c>
      <c r="B53" s="5">
        <v>48.709630263251768</v>
      </c>
      <c r="C53" s="5">
        <v>20.150585229622951</v>
      </c>
    </row>
    <row r="54" spans="1:3" x14ac:dyDescent="0.35">
      <c r="A54" s="4">
        <v>46142</v>
      </c>
      <c r="B54" s="5">
        <v>52.32147288084186</v>
      </c>
      <c r="C54" s="5">
        <v>20.22121324687479</v>
      </c>
    </row>
    <row r="55" spans="1:3" x14ac:dyDescent="0.35">
      <c r="A55" s="4">
        <v>46171</v>
      </c>
      <c r="B55" s="5">
        <v>45.516817012237382</v>
      </c>
      <c r="C55" s="5">
        <v>18.715846814609058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5"/>
  <sheetViews>
    <sheetView topLeftCell="A33" workbookViewId="0">
      <selection sqref="A1:C55"/>
    </sheetView>
  </sheetViews>
  <sheetFormatPr defaultRowHeight="14.5" x14ac:dyDescent="0.35"/>
  <cols>
    <col min="1" max="1" width="17.81640625" bestFit="1" customWidth="1"/>
    <col min="2" max="2" width="16.26953125" bestFit="1" customWidth="1"/>
    <col min="3" max="3" width="21.90625" bestFit="1" customWidth="1"/>
  </cols>
  <sheetData>
    <row r="1" spans="1:3" x14ac:dyDescent="0.35">
      <c r="A1" t="s">
        <v>28</v>
      </c>
      <c r="B1" t="s">
        <v>29</v>
      </c>
      <c r="C1" t="s">
        <v>30</v>
      </c>
    </row>
    <row r="2" spans="1:3" x14ac:dyDescent="0.35">
      <c r="A2" s="4">
        <v>44531</v>
      </c>
      <c r="B2" s="6">
        <v>0.88694253774930643</v>
      </c>
      <c r="C2" s="6">
        <v>12.17192807170769</v>
      </c>
    </row>
    <row r="3" spans="1:3" x14ac:dyDescent="0.35">
      <c r="A3" s="4">
        <v>44562</v>
      </c>
      <c r="B3" s="6">
        <v>0.92786585588954518</v>
      </c>
      <c r="C3" s="6">
        <v>15.309064834443889</v>
      </c>
    </row>
    <row r="4" spans="1:3" x14ac:dyDescent="0.35">
      <c r="A4" s="4">
        <v>44593</v>
      </c>
      <c r="B4" s="6">
        <v>0.88976870080308235</v>
      </c>
      <c r="C4" s="6">
        <v>16.628315213566449</v>
      </c>
    </row>
    <row r="5" spans="1:3" x14ac:dyDescent="0.35">
      <c r="A5" s="4">
        <v>44621</v>
      </c>
      <c r="B5" s="6">
        <v>0.90944381339866043</v>
      </c>
      <c r="C5" s="6">
        <v>15.798017505312069</v>
      </c>
    </row>
    <row r="6" spans="1:3" x14ac:dyDescent="0.35">
      <c r="A6" s="4">
        <v>44652</v>
      </c>
      <c r="B6" s="6">
        <v>0.94898994324187369</v>
      </c>
      <c r="C6" s="6">
        <v>18.224923427474451</v>
      </c>
    </row>
    <row r="7" spans="1:3" x14ac:dyDescent="0.35">
      <c r="A7" s="4">
        <v>44682</v>
      </c>
      <c r="B7" s="6">
        <v>0.94848824165633328</v>
      </c>
      <c r="C7" s="6">
        <v>18.231105194858269</v>
      </c>
    </row>
    <row r="8" spans="1:3" x14ac:dyDescent="0.35">
      <c r="A8" s="4">
        <v>44713</v>
      </c>
      <c r="B8" s="6">
        <v>0.9479616846584219</v>
      </c>
      <c r="C8" s="6">
        <v>17.376230228924381</v>
      </c>
    </row>
    <row r="9" spans="1:3" x14ac:dyDescent="0.35">
      <c r="A9" s="4">
        <v>44743</v>
      </c>
      <c r="B9" s="6">
        <v>0.9541233620557803</v>
      </c>
      <c r="C9" s="6">
        <v>18.501679820207681</v>
      </c>
    </row>
    <row r="10" spans="1:3" x14ac:dyDescent="0.35">
      <c r="A10" s="4">
        <v>44774</v>
      </c>
      <c r="B10" s="6">
        <v>0.95531066497728589</v>
      </c>
      <c r="C10" s="6">
        <v>18.242702108363261</v>
      </c>
    </row>
    <row r="11" spans="1:3" x14ac:dyDescent="0.35">
      <c r="A11" s="4">
        <v>44805</v>
      </c>
      <c r="B11" s="6">
        <v>0.95142612887730493</v>
      </c>
      <c r="C11" s="6">
        <v>18.234485995517382</v>
      </c>
    </row>
    <row r="12" spans="1:3" x14ac:dyDescent="0.35">
      <c r="A12" s="4">
        <v>44835</v>
      </c>
      <c r="B12" s="6">
        <v>0.88957849756648943</v>
      </c>
      <c r="C12" s="6">
        <v>17.888469182434928</v>
      </c>
    </row>
    <row r="13" spans="1:3" x14ac:dyDescent="0.35">
      <c r="A13" s="4">
        <v>44866</v>
      </c>
      <c r="B13" s="6">
        <v>0.89456252036106809</v>
      </c>
      <c r="C13" s="6">
        <v>18.593929572589818</v>
      </c>
    </row>
    <row r="14" spans="1:3" x14ac:dyDescent="0.35">
      <c r="A14" s="4">
        <v>44896</v>
      </c>
      <c r="B14" s="6">
        <v>0.89740243793180208</v>
      </c>
      <c r="C14" s="6">
        <v>18.545351325381919</v>
      </c>
    </row>
    <row r="15" spans="1:3" x14ac:dyDescent="0.35">
      <c r="A15" s="4">
        <v>44927</v>
      </c>
      <c r="B15" s="6">
        <v>0.90739509492409853</v>
      </c>
      <c r="C15" s="6">
        <v>18.890600985647691</v>
      </c>
    </row>
    <row r="16" spans="1:3" x14ac:dyDescent="0.35">
      <c r="A16" s="4">
        <v>44958</v>
      </c>
      <c r="B16" s="6">
        <v>0.91640462442302051</v>
      </c>
      <c r="C16" s="6">
        <v>18.40297740069234</v>
      </c>
    </row>
    <row r="17" spans="1:3" x14ac:dyDescent="0.35">
      <c r="A17" s="4">
        <v>44986</v>
      </c>
      <c r="B17" s="6">
        <v>0.91246442918281701</v>
      </c>
      <c r="C17" s="6">
        <v>19.847533396592809</v>
      </c>
    </row>
    <row r="18" spans="1:3" x14ac:dyDescent="0.35">
      <c r="A18" s="4">
        <v>45017</v>
      </c>
      <c r="B18" s="6">
        <v>0.89696078141269842</v>
      </c>
      <c r="C18" s="6">
        <v>18.31094075205996</v>
      </c>
    </row>
    <row r="19" spans="1:3" x14ac:dyDescent="0.35">
      <c r="A19" s="4">
        <v>45047</v>
      </c>
      <c r="B19" s="6">
        <v>0.88218502947256983</v>
      </c>
      <c r="C19" s="6">
        <v>22.1373299745153</v>
      </c>
    </row>
    <row r="20" spans="1:3" x14ac:dyDescent="0.35">
      <c r="A20" s="4">
        <v>45078</v>
      </c>
      <c r="B20" s="6">
        <v>0.85647952293443863</v>
      </c>
      <c r="C20" s="6">
        <v>21.69664190225021</v>
      </c>
    </row>
    <row r="21" spans="1:3" x14ac:dyDescent="0.35">
      <c r="A21" s="4">
        <v>45108</v>
      </c>
      <c r="B21" s="6">
        <v>0.85493617023068325</v>
      </c>
      <c r="C21" s="6">
        <v>21.189940245969211</v>
      </c>
    </row>
    <row r="22" spans="1:3" x14ac:dyDescent="0.35">
      <c r="A22" s="4">
        <v>45139</v>
      </c>
      <c r="B22" s="6">
        <v>0.83204487399448024</v>
      </c>
      <c r="C22" s="6">
        <v>20.682931024405519</v>
      </c>
    </row>
    <row r="23" spans="1:3" x14ac:dyDescent="0.35">
      <c r="A23" s="4">
        <v>45170</v>
      </c>
      <c r="B23" s="6">
        <v>0.78935622772392311</v>
      </c>
      <c r="C23" s="6">
        <v>20.57775111598361</v>
      </c>
    </row>
    <row r="24" spans="1:3" x14ac:dyDescent="0.35">
      <c r="A24" s="4">
        <v>45200</v>
      </c>
      <c r="B24" s="6">
        <v>0.91676697828506304</v>
      </c>
      <c r="C24" s="6">
        <v>16.080504032723251</v>
      </c>
    </row>
    <row r="25" spans="1:3" x14ac:dyDescent="0.35">
      <c r="A25" s="4">
        <v>45231</v>
      </c>
      <c r="B25" s="6">
        <v>0.9079581236146832</v>
      </c>
      <c r="C25" s="6">
        <v>16.288756579775249</v>
      </c>
    </row>
    <row r="26" spans="1:3" x14ac:dyDescent="0.35">
      <c r="A26" s="4">
        <v>45261</v>
      </c>
      <c r="B26" s="6">
        <v>0.88078587609289261</v>
      </c>
      <c r="C26" s="6">
        <v>15.37758819769466</v>
      </c>
    </row>
    <row r="27" spans="1:3" x14ac:dyDescent="0.35">
      <c r="A27" s="4">
        <v>45292</v>
      </c>
      <c r="B27" s="6">
        <v>0.85965357706123979</v>
      </c>
      <c r="C27" s="6">
        <v>15.98895617771778</v>
      </c>
    </row>
    <row r="28" spans="1:3" x14ac:dyDescent="0.35">
      <c r="A28" s="4">
        <v>45323</v>
      </c>
      <c r="B28" s="6">
        <v>0.90907002554665872</v>
      </c>
      <c r="C28" s="6">
        <v>15.31627399487396</v>
      </c>
    </row>
    <row r="29" spans="1:3" x14ac:dyDescent="0.35">
      <c r="A29" s="4">
        <v>45352</v>
      </c>
      <c r="B29" s="6">
        <v>0.89352732946901225</v>
      </c>
      <c r="C29" s="6">
        <v>15.10106413303696</v>
      </c>
    </row>
    <row r="30" spans="1:3" x14ac:dyDescent="0.35">
      <c r="A30" s="4">
        <v>45383</v>
      </c>
      <c r="B30" s="6">
        <v>0.90027430826301091</v>
      </c>
      <c r="C30" s="6">
        <v>16.268812227359081</v>
      </c>
    </row>
    <row r="31" spans="1:3" x14ac:dyDescent="0.35">
      <c r="A31" s="4">
        <v>45413</v>
      </c>
      <c r="B31" s="6">
        <v>0.90962900538343994</v>
      </c>
      <c r="C31" s="6">
        <v>12.274455008974551</v>
      </c>
    </row>
    <row r="32" spans="1:3" x14ac:dyDescent="0.35">
      <c r="A32" s="4">
        <v>45444</v>
      </c>
      <c r="B32" s="6">
        <v>0.91157888669333875</v>
      </c>
      <c r="C32" s="6">
        <v>12.665076720287111</v>
      </c>
    </row>
    <row r="33" spans="1:3" x14ac:dyDescent="0.35">
      <c r="A33" s="4">
        <v>45474</v>
      </c>
      <c r="B33" s="6">
        <v>0.8161304336666596</v>
      </c>
      <c r="C33" s="6">
        <v>17.183674961585961</v>
      </c>
    </row>
    <row r="34" spans="1:3" x14ac:dyDescent="0.35">
      <c r="A34" s="4">
        <v>45505</v>
      </c>
      <c r="B34" s="6">
        <v>0.81237422859564801</v>
      </c>
      <c r="C34" s="6">
        <v>17.32882924180862</v>
      </c>
    </row>
    <row r="35" spans="1:3" x14ac:dyDescent="0.35">
      <c r="A35" s="4">
        <v>45536</v>
      </c>
      <c r="B35" s="6">
        <v>0.77251610149783412</v>
      </c>
      <c r="C35" s="6">
        <v>17.291364609726411</v>
      </c>
    </row>
    <row r="36" spans="1:3" x14ac:dyDescent="0.35">
      <c r="A36" s="4">
        <v>45566</v>
      </c>
      <c r="B36" s="6">
        <v>0.76555439987738327</v>
      </c>
      <c r="C36" s="6">
        <v>16.341797528362541</v>
      </c>
    </row>
    <row r="37" spans="1:3" x14ac:dyDescent="0.35">
      <c r="A37" s="4">
        <v>45597</v>
      </c>
      <c r="B37" s="6">
        <v>0.7375592324886362</v>
      </c>
      <c r="C37" s="6">
        <v>15.650359515233379</v>
      </c>
    </row>
    <row r="38" spans="1:3" x14ac:dyDescent="0.35">
      <c r="A38" s="4">
        <v>45627</v>
      </c>
      <c r="B38" s="6">
        <v>0.68698786317396432</v>
      </c>
      <c r="C38" s="6">
        <v>16.348534315448241</v>
      </c>
    </row>
    <row r="39" spans="1:3" x14ac:dyDescent="0.35">
      <c r="A39" s="4">
        <v>45658</v>
      </c>
      <c r="B39" s="6">
        <v>0.73503446055005395</v>
      </c>
      <c r="C39" s="6">
        <v>15.301443828254</v>
      </c>
    </row>
    <row r="40" spans="1:3" x14ac:dyDescent="0.35">
      <c r="A40" s="4">
        <v>45689</v>
      </c>
      <c r="B40" s="6">
        <v>0.65465354234815842</v>
      </c>
      <c r="C40" s="6">
        <v>14.913993725368551</v>
      </c>
    </row>
    <row r="41" spans="1:3" x14ac:dyDescent="0.35">
      <c r="A41" s="4">
        <v>45717</v>
      </c>
      <c r="B41" s="6">
        <v>0.72219988765886656</v>
      </c>
      <c r="C41" s="6">
        <v>15.50067319784317</v>
      </c>
    </row>
    <row r="42" spans="1:3" x14ac:dyDescent="0.35">
      <c r="A42" s="4">
        <v>45748</v>
      </c>
      <c r="B42" s="6">
        <v>0.71721158620434655</v>
      </c>
      <c r="C42" s="6">
        <v>15.07609674230476</v>
      </c>
    </row>
    <row r="43" spans="1:3" x14ac:dyDescent="0.35">
      <c r="A43" s="4">
        <v>45778</v>
      </c>
      <c r="B43" s="6">
        <v>0.77847855349653761</v>
      </c>
      <c r="C43" s="6">
        <v>16.34152140000068</v>
      </c>
    </row>
    <row r="44" spans="1:3" x14ac:dyDescent="0.35">
      <c r="A44" s="4">
        <v>45809</v>
      </c>
      <c r="B44" s="6">
        <v>0.78811473044552871</v>
      </c>
      <c r="C44" s="6">
        <v>16.973513656934021</v>
      </c>
    </row>
    <row r="45" spans="1:3" x14ac:dyDescent="0.35">
      <c r="A45" s="4">
        <v>45839</v>
      </c>
      <c r="B45" s="6">
        <v>0.90497625279526606</v>
      </c>
      <c r="C45" s="6">
        <v>13.57528586676878</v>
      </c>
    </row>
    <row r="46" spans="1:3" x14ac:dyDescent="0.35">
      <c r="A46" s="4">
        <v>45870</v>
      </c>
      <c r="B46" s="6">
        <v>0.87307483298367472</v>
      </c>
      <c r="C46" s="6">
        <v>15.21790073027206</v>
      </c>
    </row>
    <row r="47" spans="1:3" x14ac:dyDescent="0.35">
      <c r="A47" s="4">
        <v>45901</v>
      </c>
      <c r="B47" s="6">
        <v>0.847028429211651</v>
      </c>
      <c r="C47" s="6">
        <v>15.582581030034429</v>
      </c>
    </row>
    <row r="48" spans="1:3" x14ac:dyDescent="0.35">
      <c r="A48" s="4">
        <v>45931</v>
      </c>
      <c r="B48" s="6">
        <v>0.85442610608918301</v>
      </c>
      <c r="C48" s="6">
        <v>15.70920734482652</v>
      </c>
    </row>
    <row r="49" spans="1:3" x14ac:dyDescent="0.35">
      <c r="A49" s="4">
        <v>45962</v>
      </c>
      <c r="B49" s="6">
        <v>0.87501577049156321</v>
      </c>
      <c r="C49" s="6">
        <v>15.735198322851209</v>
      </c>
    </row>
    <row r="50" spans="1:3" x14ac:dyDescent="0.35">
      <c r="A50" s="4">
        <v>45992</v>
      </c>
      <c r="B50" s="6">
        <v>0.88672368768049881</v>
      </c>
      <c r="C50" s="6">
        <v>15.78796880232896</v>
      </c>
    </row>
    <row r="51" spans="1:3" x14ac:dyDescent="0.35">
      <c r="A51" s="4">
        <v>46023</v>
      </c>
      <c r="B51" s="6">
        <v>0.67097114918980927</v>
      </c>
      <c r="C51" s="6">
        <v>21.85600720592668</v>
      </c>
    </row>
    <row r="52" spans="1:3" x14ac:dyDescent="0.35">
      <c r="A52" s="4">
        <v>46054</v>
      </c>
      <c r="B52" s="6">
        <v>0.67887400545013499</v>
      </c>
      <c r="C52" s="6">
        <v>22.237991248615192</v>
      </c>
    </row>
    <row r="53" spans="1:3" x14ac:dyDescent="0.35">
      <c r="A53" s="4">
        <v>46082</v>
      </c>
      <c r="B53" s="6">
        <v>0.61433348308136526</v>
      </c>
      <c r="C53" s="6">
        <v>22.08352611977941</v>
      </c>
    </row>
    <row r="54" spans="1:3" x14ac:dyDescent="0.35">
      <c r="A54" s="4">
        <v>46113</v>
      </c>
      <c r="B54" s="6">
        <v>0.58461267076870171</v>
      </c>
      <c r="C54" s="6">
        <v>25.459118737306181</v>
      </c>
    </row>
    <row r="55" spans="1:3" x14ac:dyDescent="0.35">
      <c r="A55" s="4">
        <v>46143</v>
      </c>
      <c r="B55" s="6">
        <v>0.50241375775483044</v>
      </c>
      <c r="C55" s="6">
        <v>24.735161100903071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5"/>
  <sheetViews>
    <sheetView topLeftCell="A33" workbookViewId="0">
      <selection sqref="A1:E55"/>
    </sheetView>
  </sheetViews>
  <sheetFormatPr defaultRowHeight="14.5" x14ac:dyDescent="0.35"/>
  <cols>
    <col min="1" max="1" width="17.81640625" bestFit="1" customWidth="1"/>
    <col min="2" max="2" width="26.7265625" bestFit="1" customWidth="1"/>
    <col min="3" max="3" width="27.81640625" bestFit="1" customWidth="1"/>
    <col min="4" max="4" width="26.7265625" bestFit="1" customWidth="1"/>
    <col min="5" max="5" width="27.81640625" bestFit="1" customWidth="1"/>
  </cols>
  <sheetData>
    <row r="1" spans="1:5" x14ac:dyDescent="0.35">
      <c r="A1" t="s">
        <v>28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35">
      <c r="A2" s="4">
        <v>44561</v>
      </c>
      <c r="B2">
        <v>4.188092363722701</v>
      </c>
      <c r="C2">
        <v>6.1145567319632468</v>
      </c>
      <c r="D2">
        <v>5.7292638583151376</v>
      </c>
      <c r="E2">
        <v>6.1145567319632468</v>
      </c>
    </row>
    <row r="3" spans="1:5" x14ac:dyDescent="0.35">
      <c r="A3" s="4">
        <v>44592</v>
      </c>
      <c r="B3">
        <v>5.4634956576276474</v>
      </c>
      <c r="C3">
        <v>6.1145567319632468</v>
      </c>
      <c r="D3">
        <v>5.984344517096126</v>
      </c>
      <c r="E3">
        <v>6.1145567319632468</v>
      </c>
    </row>
    <row r="4" spans="1:5" x14ac:dyDescent="0.35">
      <c r="A4" s="4">
        <v>44620</v>
      </c>
      <c r="B4">
        <v>5.4634956576276474</v>
      </c>
      <c r="C4">
        <v>6.1145567319632468</v>
      </c>
      <c r="D4">
        <v>5.984344517096126</v>
      </c>
      <c r="E4">
        <v>6.1145567319632468</v>
      </c>
    </row>
    <row r="5" spans="1:5" x14ac:dyDescent="0.35">
      <c r="A5" s="4">
        <v>44651</v>
      </c>
      <c r="B5">
        <v>5.4634956576276474</v>
      </c>
      <c r="C5">
        <v>6.1145567319632468</v>
      </c>
      <c r="D5">
        <v>5.984344517096126</v>
      </c>
      <c r="E5">
        <v>6.1145567319632468</v>
      </c>
    </row>
    <row r="6" spans="1:5" x14ac:dyDescent="0.35">
      <c r="A6" s="4">
        <v>44680</v>
      </c>
      <c r="B6">
        <v>8.7013815202710614</v>
      </c>
      <c r="C6">
        <v>11.863056261536171</v>
      </c>
      <c r="D6">
        <v>11.23072131328315</v>
      </c>
      <c r="E6">
        <v>11.863056261536171</v>
      </c>
    </row>
    <row r="7" spans="1:5" x14ac:dyDescent="0.35">
      <c r="A7" s="4">
        <v>44712</v>
      </c>
      <c r="B7">
        <v>8.7013815202710614</v>
      </c>
      <c r="C7">
        <v>11.863056261536171</v>
      </c>
      <c r="D7">
        <v>11.23072131328315</v>
      </c>
      <c r="E7">
        <v>11.863056261536171</v>
      </c>
    </row>
    <row r="8" spans="1:5" x14ac:dyDescent="0.35">
      <c r="A8" s="4">
        <v>44742</v>
      </c>
      <c r="B8">
        <v>10.99080740421871</v>
      </c>
      <c r="C8">
        <v>11.863056261536171</v>
      </c>
      <c r="D8">
        <v>11.688606490072679</v>
      </c>
      <c r="E8">
        <v>11.863056261536171</v>
      </c>
    </row>
    <row r="9" spans="1:5" x14ac:dyDescent="0.35">
      <c r="A9" s="4">
        <v>44771</v>
      </c>
      <c r="B9">
        <v>10.99080740421871</v>
      </c>
      <c r="C9">
        <v>11.863056261536171</v>
      </c>
      <c r="D9">
        <v>11.688606490072679</v>
      </c>
      <c r="E9">
        <v>11.863056261536171</v>
      </c>
    </row>
    <row r="10" spans="1:5" x14ac:dyDescent="0.35">
      <c r="A10" s="4">
        <v>44804</v>
      </c>
      <c r="B10">
        <v>10.99080740421871</v>
      </c>
      <c r="C10">
        <v>11.863056261536171</v>
      </c>
      <c r="D10">
        <v>11.688606490072679</v>
      </c>
      <c r="E10">
        <v>11.863056261536171</v>
      </c>
    </row>
    <row r="11" spans="1:5" x14ac:dyDescent="0.35">
      <c r="A11" s="4">
        <v>44834</v>
      </c>
      <c r="B11">
        <v>12.784893297504761</v>
      </c>
      <c r="C11">
        <v>13.911583008133039</v>
      </c>
      <c r="D11">
        <v>13.686245066007389</v>
      </c>
      <c r="E11">
        <v>13.911583008133039</v>
      </c>
    </row>
    <row r="12" spans="1:5" x14ac:dyDescent="0.35">
      <c r="A12" s="4">
        <v>44865</v>
      </c>
      <c r="B12">
        <v>12.784893297504761</v>
      </c>
      <c r="C12">
        <v>13.911583008133039</v>
      </c>
      <c r="D12">
        <v>13.686245066007389</v>
      </c>
      <c r="E12">
        <v>13.911583008133039</v>
      </c>
    </row>
    <row r="13" spans="1:5" x14ac:dyDescent="0.35">
      <c r="A13" s="4">
        <v>44895</v>
      </c>
      <c r="B13">
        <v>12.784893297504761</v>
      </c>
      <c r="C13">
        <v>13.911583008133039</v>
      </c>
      <c r="D13">
        <v>13.686245066007389</v>
      </c>
      <c r="E13">
        <v>13.911583008133039</v>
      </c>
    </row>
    <row r="14" spans="1:5" x14ac:dyDescent="0.35">
      <c r="A14" s="4">
        <v>44925</v>
      </c>
      <c r="B14">
        <v>12.784893297504761</v>
      </c>
      <c r="C14">
        <v>13.911583008133039</v>
      </c>
      <c r="D14">
        <v>13.686245066007389</v>
      </c>
      <c r="E14">
        <v>13.911583008133039</v>
      </c>
    </row>
    <row r="15" spans="1:5" x14ac:dyDescent="0.35">
      <c r="A15" s="4">
        <v>44957</v>
      </c>
      <c r="B15">
        <v>12.784893297504761</v>
      </c>
      <c r="C15">
        <v>13.911583008133039</v>
      </c>
      <c r="D15">
        <v>13.686245066007389</v>
      </c>
      <c r="E15">
        <v>13.911583008133039</v>
      </c>
    </row>
    <row r="16" spans="1:5" x14ac:dyDescent="0.35">
      <c r="A16" s="4">
        <v>44985</v>
      </c>
      <c r="B16">
        <v>12.784893297504761</v>
      </c>
      <c r="C16">
        <v>13.911583008133039</v>
      </c>
      <c r="D16">
        <v>13.686245066007389</v>
      </c>
      <c r="E16">
        <v>13.911583008133039</v>
      </c>
    </row>
    <row r="17" spans="1:5" x14ac:dyDescent="0.35">
      <c r="A17" s="4">
        <v>45016</v>
      </c>
      <c r="B17">
        <v>12.784893297504761</v>
      </c>
      <c r="C17">
        <v>13.911583008133039</v>
      </c>
      <c r="D17">
        <v>13.686245066007389</v>
      </c>
      <c r="E17">
        <v>13.911583008133039</v>
      </c>
    </row>
    <row r="18" spans="1:5" x14ac:dyDescent="0.35">
      <c r="A18" s="4">
        <v>45044</v>
      </c>
      <c r="B18">
        <v>11.9126444401873</v>
      </c>
      <c r="C18">
        <v>13.911583008133039</v>
      </c>
      <c r="D18">
        <v>13.511795294543891</v>
      </c>
      <c r="E18">
        <v>13.911583008133039</v>
      </c>
    </row>
    <row r="19" spans="1:5" x14ac:dyDescent="0.35">
      <c r="A19" s="4">
        <v>45077</v>
      </c>
      <c r="B19">
        <v>11.9126444401873</v>
      </c>
      <c r="C19">
        <v>13.911583008133039</v>
      </c>
      <c r="D19">
        <v>13.511795294543891</v>
      </c>
      <c r="E19">
        <v>13.911583008133039</v>
      </c>
    </row>
    <row r="20" spans="1:5" x14ac:dyDescent="0.35">
      <c r="A20" s="4">
        <v>45107</v>
      </c>
      <c r="B20">
        <v>10.149123280672081</v>
      </c>
      <c r="C20">
        <v>13.911583008133039</v>
      </c>
      <c r="D20">
        <v>13.159091062640851</v>
      </c>
      <c r="E20">
        <v>13.911583008133039</v>
      </c>
    </row>
    <row r="21" spans="1:5" x14ac:dyDescent="0.35">
      <c r="A21" s="4">
        <v>45138</v>
      </c>
      <c r="B21">
        <v>10.149123280672081</v>
      </c>
      <c r="C21">
        <v>13.911583008133039</v>
      </c>
      <c r="D21">
        <v>13.159091062640851</v>
      </c>
      <c r="E21">
        <v>13.911583008133039</v>
      </c>
    </row>
    <row r="22" spans="1:5" x14ac:dyDescent="0.35">
      <c r="A22" s="4">
        <v>45169</v>
      </c>
      <c r="B22">
        <v>9.4573026613988151</v>
      </c>
      <c r="C22">
        <v>13.911583008133039</v>
      </c>
      <c r="D22">
        <v>13.020726938786201</v>
      </c>
      <c r="E22">
        <v>13.911583008133039</v>
      </c>
    </row>
    <row r="23" spans="1:5" x14ac:dyDescent="0.35">
      <c r="A23" s="4">
        <v>45198</v>
      </c>
      <c r="B23">
        <v>6.879557237031773</v>
      </c>
      <c r="C23">
        <v>8.1832598428729479</v>
      </c>
      <c r="D23">
        <v>7.922519321704713</v>
      </c>
      <c r="E23">
        <v>8.1832598428729479</v>
      </c>
    </row>
    <row r="24" spans="1:5" x14ac:dyDescent="0.35">
      <c r="A24" s="4">
        <v>45230</v>
      </c>
      <c r="B24">
        <v>6.879557237031773</v>
      </c>
      <c r="C24">
        <v>8.1832598428729479</v>
      </c>
      <c r="D24">
        <v>7.922519321704713</v>
      </c>
      <c r="E24">
        <v>8.1832598428729479</v>
      </c>
    </row>
    <row r="25" spans="1:5" x14ac:dyDescent="0.35">
      <c r="A25" s="4">
        <v>45260</v>
      </c>
      <c r="B25">
        <v>6.879557237031773</v>
      </c>
      <c r="C25">
        <v>8.1832598428729479</v>
      </c>
      <c r="D25">
        <v>7.922519321704713</v>
      </c>
      <c r="E25">
        <v>8.1832598428729479</v>
      </c>
    </row>
    <row r="26" spans="1:5" x14ac:dyDescent="0.35">
      <c r="A26" s="4">
        <v>45289</v>
      </c>
      <c r="B26">
        <v>4.2367569541416543</v>
      </c>
      <c r="C26">
        <v>8.1832598428729479</v>
      </c>
      <c r="D26">
        <v>7.3939592651266883</v>
      </c>
      <c r="E26">
        <v>8.1832598428729479</v>
      </c>
    </row>
    <row r="27" spans="1:5" x14ac:dyDescent="0.35">
      <c r="A27" s="4">
        <v>45322</v>
      </c>
      <c r="B27">
        <v>4.2367569541416543</v>
      </c>
      <c r="C27">
        <v>8.1832598428729479</v>
      </c>
      <c r="D27">
        <v>7.3939592651266883</v>
      </c>
      <c r="E27">
        <v>8.1832598428729479</v>
      </c>
    </row>
    <row r="28" spans="1:5" x14ac:dyDescent="0.35">
      <c r="A28" s="4">
        <v>45351</v>
      </c>
      <c r="B28">
        <v>4.2367569541416543</v>
      </c>
      <c r="C28">
        <v>8.1832598428729479</v>
      </c>
      <c r="D28">
        <v>7.3939592651266883</v>
      </c>
      <c r="E28">
        <v>8.1832598428729479</v>
      </c>
    </row>
    <row r="29" spans="1:5" x14ac:dyDescent="0.35">
      <c r="A29" s="4">
        <v>45379</v>
      </c>
      <c r="B29">
        <v>4.2367569541416543</v>
      </c>
      <c r="C29">
        <v>8.1832598428729479</v>
      </c>
      <c r="D29">
        <v>7.3939592651266883</v>
      </c>
      <c r="E29">
        <v>8.1832598428729479</v>
      </c>
    </row>
    <row r="30" spans="1:5" x14ac:dyDescent="0.35">
      <c r="A30" s="4">
        <v>45412</v>
      </c>
      <c r="B30">
        <v>4.5775302095795212</v>
      </c>
      <c r="C30">
        <v>8.1832598428729479</v>
      </c>
      <c r="D30">
        <v>7.4621139162142622</v>
      </c>
      <c r="E30">
        <v>8.1832598428729479</v>
      </c>
    </row>
    <row r="31" spans="1:5" x14ac:dyDescent="0.35">
      <c r="A31" s="4">
        <v>45443</v>
      </c>
      <c r="B31">
        <v>4.5775302095795212</v>
      </c>
      <c r="C31">
        <v>8.1832598428729479</v>
      </c>
      <c r="D31">
        <v>7.4621139162142622</v>
      </c>
      <c r="E31">
        <v>8.1832598428729479</v>
      </c>
    </row>
    <row r="32" spans="1:5" x14ac:dyDescent="0.35">
      <c r="A32" s="4">
        <v>45471</v>
      </c>
      <c r="B32">
        <v>4.5775302095795212</v>
      </c>
      <c r="C32">
        <v>8.1832598428729479</v>
      </c>
      <c r="D32">
        <v>7.4621139162142622</v>
      </c>
      <c r="E32">
        <v>8.1832598428729479</v>
      </c>
    </row>
    <row r="33" spans="1:5" x14ac:dyDescent="0.35">
      <c r="A33" s="4">
        <v>45504</v>
      </c>
      <c r="B33">
        <v>4.5775302095795212</v>
      </c>
      <c r="C33">
        <v>8.1832598428729479</v>
      </c>
      <c r="D33">
        <v>7.4621139162142622</v>
      </c>
      <c r="E33">
        <v>8.1832598428729479</v>
      </c>
    </row>
    <row r="34" spans="1:5" x14ac:dyDescent="0.35">
      <c r="A34" s="4">
        <v>45534</v>
      </c>
      <c r="B34">
        <v>4.5775302095795212</v>
      </c>
      <c r="C34">
        <v>8.1832598428729479</v>
      </c>
      <c r="D34">
        <v>7.4621139162142622</v>
      </c>
      <c r="E34">
        <v>8.1832598428729479</v>
      </c>
    </row>
    <row r="35" spans="1:5" x14ac:dyDescent="0.35">
      <c r="A35" s="4">
        <v>45565</v>
      </c>
      <c r="B35">
        <v>-0.57986062001756167</v>
      </c>
      <c r="C35">
        <v>1.6273877823394469</v>
      </c>
      <c r="D35">
        <v>1.185938101868045</v>
      </c>
      <c r="E35">
        <v>1.6273877823394469</v>
      </c>
    </row>
    <row r="36" spans="1:5" x14ac:dyDescent="0.35">
      <c r="A36" s="4">
        <v>45596</v>
      </c>
      <c r="B36">
        <v>1.252812921936179</v>
      </c>
      <c r="C36">
        <v>1.6273877823394469</v>
      </c>
      <c r="D36">
        <v>1.552472810258793</v>
      </c>
      <c r="E36">
        <v>1.6273877823394469</v>
      </c>
    </row>
    <row r="37" spans="1:5" x14ac:dyDescent="0.35">
      <c r="A37" s="4">
        <v>45625</v>
      </c>
      <c r="B37">
        <v>1.252812921936179</v>
      </c>
      <c r="C37">
        <v>1.6273877823394469</v>
      </c>
      <c r="D37">
        <v>1.552472810258793</v>
      </c>
      <c r="E37">
        <v>1.6273877823394469</v>
      </c>
    </row>
    <row r="38" spans="1:5" x14ac:dyDescent="0.35">
      <c r="A38" s="4">
        <v>45657</v>
      </c>
      <c r="B38">
        <v>2.5557238378509042</v>
      </c>
      <c r="C38">
        <v>3.6903567945871298</v>
      </c>
      <c r="D38">
        <v>3.4634302032398852</v>
      </c>
      <c r="E38">
        <v>3.6903567945871298</v>
      </c>
    </row>
    <row r="39" spans="1:5" x14ac:dyDescent="0.35">
      <c r="A39" s="4">
        <v>45688</v>
      </c>
      <c r="B39">
        <v>3.663562449218225</v>
      </c>
      <c r="C39">
        <v>3.6903567945871298</v>
      </c>
      <c r="D39">
        <v>3.68499792551335</v>
      </c>
      <c r="E39">
        <v>3.6903567945871298</v>
      </c>
    </row>
    <row r="40" spans="1:5" x14ac:dyDescent="0.35">
      <c r="A40" s="4">
        <v>45716</v>
      </c>
      <c r="B40">
        <v>3.663562449218225</v>
      </c>
      <c r="C40">
        <v>3.6903567945871298</v>
      </c>
      <c r="D40">
        <v>3.68499792551335</v>
      </c>
      <c r="E40">
        <v>3.6903567945871298</v>
      </c>
    </row>
    <row r="41" spans="1:5" x14ac:dyDescent="0.35">
      <c r="A41" s="4">
        <v>45747</v>
      </c>
      <c r="B41">
        <v>4.7573726060871371</v>
      </c>
      <c r="C41">
        <v>6.0615030423649223</v>
      </c>
      <c r="D41">
        <v>5.8006769551093651</v>
      </c>
      <c r="E41">
        <v>6.0615030423649223</v>
      </c>
    </row>
    <row r="42" spans="1:5" x14ac:dyDescent="0.35">
      <c r="A42" s="4">
        <v>45777</v>
      </c>
      <c r="B42">
        <v>4.7573726060871371</v>
      </c>
      <c r="C42">
        <v>6.0615030423649223</v>
      </c>
      <c r="D42">
        <v>5.8006769551093651</v>
      </c>
      <c r="E42">
        <v>6.0615030423649223</v>
      </c>
    </row>
    <row r="43" spans="1:5" x14ac:dyDescent="0.35">
      <c r="A43" s="4">
        <v>45807</v>
      </c>
      <c r="B43">
        <v>4.7573726060871371</v>
      </c>
      <c r="C43">
        <v>6.0615030423649223</v>
      </c>
      <c r="D43">
        <v>5.8006769551093651</v>
      </c>
      <c r="E43">
        <v>6.0615030423649223</v>
      </c>
    </row>
    <row r="44" spans="1:5" x14ac:dyDescent="0.35">
      <c r="A44" s="4">
        <v>45838</v>
      </c>
      <c r="B44">
        <v>4.7573726060871371</v>
      </c>
      <c r="C44">
        <v>6.0615030423649223</v>
      </c>
      <c r="D44">
        <v>5.8006769551093651</v>
      </c>
      <c r="E44">
        <v>6.0615030423649223</v>
      </c>
    </row>
    <row r="45" spans="1:5" x14ac:dyDescent="0.35">
      <c r="A45" s="4">
        <v>45869</v>
      </c>
      <c r="B45">
        <v>4.7573726060871371</v>
      </c>
      <c r="C45">
        <v>6.0615030423649223</v>
      </c>
      <c r="D45">
        <v>5.8006769551093651</v>
      </c>
      <c r="E45">
        <v>6.0615030423649223</v>
      </c>
    </row>
    <row r="46" spans="1:5" x14ac:dyDescent="0.35">
      <c r="A46" s="4">
        <v>45898</v>
      </c>
      <c r="B46">
        <v>4.7573726060871371</v>
      </c>
      <c r="C46">
        <v>6.0615030423649223</v>
      </c>
      <c r="D46">
        <v>5.8006769551093651</v>
      </c>
      <c r="E46">
        <v>6.0615030423649223</v>
      </c>
    </row>
    <row r="47" spans="1:5" x14ac:dyDescent="0.35">
      <c r="A47" s="4">
        <v>45930</v>
      </c>
      <c r="B47">
        <v>4.7573726060871371</v>
      </c>
      <c r="C47">
        <v>6.0615030423649223</v>
      </c>
      <c r="D47">
        <v>5.8006769551093651</v>
      </c>
      <c r="E47">
        <v>6.0615030423649223</v>
      </c>
    </row>
    <row r="48" spans="1:5" x14ac:dyDescent="0.35">
      <c r="A48" s="4">
        <v>45961</v>
      </c>
      <c r="B48">
        <v>4.7573726060871371</v>
      </c>
      <c r="C48">
        <v>6.0615030423649223</v>
      </c>
      <c r="D48">
        <v>5.8006769551093651</v>
      </c>
      <c r="E48">
        <v>6.0615030423649223</v>
      </c>
    </row>
    <row r="49" spans="1:5" x14ac:dyDescent="0.35">
      <c r="A49" s="4">
        <v>45989</v>
      </c>
      <c r="B49">
        <v>6.5106767288564686</v>
      </c>
      <c r="C49">
        <v>7.059666790123913</v>
      </c>
      <c r="D49">
        <v>6.9498687778704236</v>
      </c>
      <c r="E49">
        <v>7.059666790123913</v>
      </c>
    </row>
    <row r="50" spans="1:5" x14ac:dyDescent="0.35">
      <c r="A50" s="4">
        <v>46022</v>
      </c>
      <c r="B50">
        <v>6.5106767288564686</v>
      </c>
      <c r="C50">
        <v>7.059666790123913</v>
      </c>
      <c r="D50">
        <v>6.9498687778704236</v>
      </c>
      <c r="E50">
        <v>7.059666790123913</v>
      </c>
    </row>
    <row r="51" spans="1:5" x14ac:dyDescent="0.35">
      <c r="A51" s="4">
        <v>46052</v>
      </c>
      <c r="B51">
        <v>6.5106767288564686</v>
      </c>
      <c r="C51">
        <v>7.059666790123913</v>
      </c>
      <c r="D51">
        <v>6.9498687778704236</v>
      </c>
      <c r="E51">
        <v>7.059666790123913</v>
      </c>
    </row>
    <row r="52" spans="1:5" x14ac:dyDescent="0.35">
      <c r="A52" s="4">
        <v>46080</v>
      </c>
      <c r="B52">
        <v>6.5106767288564686</v>
      </c>
      <c r="C52">
        <v>7.059666790123913</v>
      </c>
      <c r="D52">
        <v>6.9498687778704236</v>
      </c>
      <c r="E52">
        <v>7.059666790123913</v>
      </c>
    </row>
    <row r="53" spans="1:5" x14ac:dyDescent="0.35">
      <c r="A53" s="4">
        <v>46112</v>
      </c>
      <c r="B53">
        <v>5.5732673109250834</v>
      </c>
      <c r="C53">
        <v>7.059666790123913</v>
      </c>
      <c r="D53">
        <v>6.7623868942841474</v>
      </c>
      <c r="E53">
        <v>7.059666790123913</v>
      </c>
    </row>
    <row r="54" spans="1:5" x14ac:dyDescent="0.35">
      <c r="A54" s="4">
        <v>46142</v>
      </c>
      <c r="B54">
        <v>5.5732673109250834</v>
      </c>
      <c r="C54">
        <v>7.059666790123913</v>
      </c>
      <c r="D54">
        <v>6.7623868942841474</v>
      </c>
      <c r="E54">
        <v>7.059666790123913</v>
      </c>
    </row>
    <row r="55" spans="1:5" x14ac:dyDescent="0.35">
      <c r="A55" s="4">
        <v>46171</v>
      </c>
      <c r="B55">
        <v>5.5732673109250834</v>
      </c>
      <c r="C55">
        <v>7.059666790123913</v>
      </c>
      <c r="D55">
        <v>6.7623868942841474</v>
      </c>
      <c r="E55">
        <v>7.059666790123913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4"/>
  <sheetViews>
    <sheetView workbookViewId="0">
      <selection activeCell="D1" activeCellId="1" sqref="A1:A54 D1:E54"/>
    </sheetView>
  </sheetViews>
  <sheetFormatPr defaultRowHeight="14.5" x14ac:dyDescent="0.35"/>
  <cols>
    <col min="1" max="1" width="10.08984375" bestFit="1" customWidth="1"/>
    <col min="2" max="2" width="17.54296875" bestFit="1" customWidth="1"/>
    <col min="3" max="3" width="17.7265625" bestFit="1" customWidth="1"/>
    <col min="4" max="4" width="13.54296875" bestFit="1" customWidth="1"/>
    <col min="5" max="5" width="14.90625" bestFit="1" customWidth="1"/>
  </cols>
  <sheetData>
    <row r="1" spans="1:5" x14ac:dyDescent="0.35">
      <c r="A1" t="s">
        <v>28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35">
      <c r="A2" s="7">
        <v>44561</v>
      </c>
      <c r="B2">
        <v>2.696397208668043</v>
      </c>
      <c r="C2">
        <v>6.7577264257891239</v>
      </c>
      <c r="D2">
        <v>2.6166277032011358</v>
      </c>
      <c r="E2">
        <v>-0.63963223302117611</v>
      </c>
    </row>
    <row r="3" spans="1:5" x14ac:dyDescent="0.35">
      <c r="A3" s="7">
        <v>44592</v>
      </c>
      <c r="B3">
        <v>2.2993418737300262</v>
      </c>
      <c r="C3">
        <v>18.253818638294611</v>
      </c>
      <c r="D3">
        <v>2.465533510297421</v>
      </c>
      <c r="E3">
        <v>-0.68696859796619414</v>
      </c>
    </row>
    <row r="4" spans="1:5" x14ac:dyDescent="0.35">
      <c r="A4" s="7">
        <v>44620</v>
      </c>
      <c r="B4">
        <v>2.4754417971517748</v>
      </c>
      <c r="C4">
        <v>19.830589920463439</v>
      </c>
      <c r="D4">
        <v>2.518911472406645</v>
      </c>
      <c r="E4">
        <v>-0.79855932577290167</v>
      </c>
    </row>
    <row r="5" spans="1:5" x14ac:dyDescent="0.35">
      <c r="A5" s="7">
        <v>44651</v>
      </c>
      <c r="B5">
        <v>2.4848470954802551</v>
      </c>
      <c r="C5">
        <v>19.926993442807522</v>
      </c>
      <c r="D5">
        <v>2.5271193605110209</v>
      </c>
      <c r="E5">
        <v>-0.81285765712952951</v>
      </c>
    </row>
    <row r="6" spans="1:5" x14ac:dyDescent="0.35">
      <c r="A6" s="7">
        <v>44680</v>
      </c>
      <c r="B6">
        <v>0.74007746353174619</v>
      </c>
      <c r="C6">
        <v>1.5250330894126991</v>
      </c>
      <c r="D6">
        <v>2.751661030677202</v>
      </c>
      <c r="E6">
        <v>-0.87826760829689876</v>
      </c>
    </row>
    <row r="7" spans="1:5" x14ac:dyDescent="0.35">
      <c r="A7" s="7">
        <v>44712</v>
      </c>
      <c r="B7">
        <v>0.68244777158183811</v>
      </c>
      <c r="C7">
        <v>1.4047939271096319</v>
      </c>
      <c r="D7">
        <v>2.7244199495169781</v>
      </c>
      <c r="E7">
        <v>-0.84766936298579065</v>
      </c>
    </row>
    <row r="8" spans="1:5" x14ac:dyDescent="0.35">
      <c r="A8" s="7">
        <v>44742</v>
      </c>
      <c r="B8">
        <v>-0.18546262714603709</v>
      </c>
      <c r="C8">
        <v>-0.44061726245440602</v>
      </c>
      <c r="D8">
        <v>1.999722515368777</v>
      </c>
      <c r="E8">
        <v>-0.51645152455575782</v>
      </c>
    </row>
    <row r="9" spans="1:5" x14ac:dyDescent="0.35">
      <c r="A9" s="7">
        <v>44771</v>
      </c>
      <c r="B9">
        <v>7.559187035691424E-2</v>
      </c>
      <c r="C9">
        <v>0.19091649530665961</v>
      </c>
      <c r="D9">
        <v>1.8988192792021159</v>
      </c>
      <c r="E9">
        <v>-0.54271196079401085</v>
      </c>
    </row>
    <row r="10" spans="1:5" x14ac:dyDescent="0.35">
      <c r="A10" s="7">
        <v>44804</v>
      </c>
      <c r="B10">
        <v>-0.39293943595018133</v>
      </c>
      <c r="C10">
        <v>-1.1181116707464629</v>
      </c>
      <c r="D10">
        <v>1.5881151828187481</v>
      </c>
      <c r="E10">
        <v>-0.2059949930614535</v>
      </c>
    </row>
    <row r="11" spans="1:5" x14ac:dyDescent="0.35">
      <c r="A11" s="7">
        <v>44834</v>
      </c>
      <c r="B11">
        <v>-0.6252061096104875</v>
      </c>
      <c r="C11">
        <v>-1.0943600879138899</v>
      </c>
      <c r="D11">
        <v>1.589838367852124</v>
      </c>
      <c r="E11">
        <v>-0.28819007372575811</v>
      </c>
    </row>
    <row r="12" spans="1:5" x14ac:dyDescent="0.35">
      <c r="A12" s="7">
        <v>44865</v>
      </c>
      <c r="B12">
        <v>-0.33919935217362779</v>
      </c>
      <c r="C12">
        <v>-0.69042906773216817</v>
      </c>
      <c r="D12">
        <v>2.1547464399781728</v>
      </c>
      <c r="E12">
        <v>0.1909571361615052</v>
      </c>
    </row>
    <row r="13" spans="1:5" x14ac:dyDescent="0.35">
      <c r="A13" s="7">
        <v>44895</v>
      </c>
      <c r="B13">
        <v>-0.26017665551240998</v>
      </c>
      <c r="C13">
        <v>-0.54486198098757266</v>
      </c>
      <c r="D13">
        <v>2.0236045276554799</v>
      </c>
      <c r="E13">
        <v>0.18295560307947761</v>
      </c>
    </row>
    <row r="14" spans="1:5" x14ac:dyDescent="0.35">
      <c r="A14" s="7">
        <v>44925</v>
      </c>
      <c r="B14">
        <v>-0.41710275896767429</v>
      </c>
      <c r="C14">
        <v>-1.275567432395063</v>
      </c>
      <c r="D14">
        <v>1.972636796620771</v>
      </c>
      <c r="E14">
        <v>0.31471937021242569</v>
      </c>
    </row>
    <row r="15" spans="1:5" x14ac:dyDescent="0.35">
      <c r="A15" s="7">
        <v>44957</v>
      </c>
      <c r="B15">
        <v>-8.9627562441650325E-3</v>
      </c>
      <c r="C15">
        <v>-3.1237731599016529E-2</v>
      </c>
      <c r="D15">
        <v>1.713027257541051</v>
      </c>
      <c r="E15">
        <v>1.2286336160644231E-2</v>
      </c>
    </row>
    <row r="16" spans="1:5" x14ac:dyDescent="0.35">
      <c r="A16" s="7">
        <v>44985</v>
      </c>
      <c r="B16">
        <v>0.1083347525260577</v>
      </c>
      <c r="C16">
        <v>0.38699726869470508</v>
      </c>
      <c r="D16">
        <v>1.5979274792282061</v>
      </c>
      <c r="E16">
        <v>-5.4643721874892567E-2</v>
      </c>
    </row>
    <row r="17" spans="1:5" x14ac:dyDescent="0.35">
      <c r="A17" s="7">
        <v>45016</v>
      </c>
      <c r="B17">
        <v>0.20679352821047839</v>
      </c>
      <c r="C17">
        <v>0.74835514917758528</v>
      </c>
      <c r="D17">
        <v>1.5386998971780801</v>
      </c>
      <c r="E17">
        <v>-0.1231918382155776</v>
      </c>
    </row>
    <row r="18" spans="1:5" x14ac:dyDescent="0.35">
      <c r="A18" s="7">
        <v>45044</v>
      </c>
      <c r="B18">
        <v>0.59893309450639343</v>
      </c>
      <c r="C18">
        <v>1.3852723102989011</v>
      </c>
      <c r="D18">
        <v>1.8000114870078781</v>
      </c>
      <c r="E18">
        <v>-0.21241793537332801</v>
      </c>
    </row>
    <row r="19" spans="1:5" x14ac:dyDescent="0.35">
      <c r="A19" s="7">
        <v>45077</v>
      </c>
      <c r="B19">
        <v>0.86531250850005492</v>
      </c>
      <c r="C19">
        <v>2.0518650034987251</v>
      </c>
      <c r="D19">
        <v>1.744450157715048</v>
      </c>
      <c r="E19">
        <v>-0.37708545968593798</v>
      </c>
    </row>
    <row r="20" spans="1:5" x14ac:dyDescent="0.35">
      <c r="A20" s="7">
        <v>45107</v>
      </c>
      <c r="B20">
        <v>1.730113964124194</v>
      </c>
      <c r="C20">
        <v>3.5228632150487309</v>
      </c>
      <c r="D20">
        <v>2.3743883974668241</v>
      </c>
      <c r="E20">
        <v>-0.69251085144504809</v>
      </c>
    </row>
    <row r="21" spans="1:5" x14ac:dyDescent="0.35">
      <c r="A21" s="7">
        <v>45138</v>
      </c>
      <c r="B21">
        <v>1.4489717297992</v>
      </c>
      <c r="C21">
        <v>2.9329294811215521</v>
      </c>
      <c r="D21">
        <v>2.280299616420411</v>
      </c>
      <c r="E21">
        <v>-0.5342197122546154</v>
      </c>
    </row>
    <row r="22" spans="1:5" x14ac:dyDescent="0.35">
      <c r="A22" s="7">
        <v>45169</v>
      </c>
      <c r="B22">
        <v>1.962634914932418</v>
      </c>
      <c r="C22">
        <v>3.2194788202537739</v>
      </c>
      <c r="D22">
        <v>2.892769219431583</v>
      </c>
      <c r="E22">
        <v>-0.69487722291619658</v>
      </c>
    </row>
    <row r="23" spans="1:5" x14ac:dyDescent="0.35">
      <c r="A23" s="7">
        <v>45198</v>
      </c>
      <c r="B23">
        <v>2.6202606176003358</v>
      </c>
      <c r="C23">
        <v>6.7755629985512744</v>
      </c>
      <c r="D23">
        <v>2.1840362905557398</v>
      </c>
      <c r="E23">
        <v>-0.30432372295216148</v>
      </c>
    </row>
    <row r="24" spans="1:5" x14ac:dyDescent="0.35">
      <c r="A24" s="7">
        <v>45230</v>
      </c>
      <c r="B24">
        <v>2.16313080657237</v>
      </c>
      <c r="C24">
        <v>4.7983376163811347</v>
      </c>
      <c r="D24">
        <v>2.1001865005877889</v>
      </c>
      <c r="E24">
        <v>-0.57598967441385784</v>
      </c>
    </row>
    <row r="25" spans="1:5" x14ac:dyDescent="0.35">
      <c r="A25" s="7">
        <v>45260</v>
      </c>
      <c r="B25">
        <v>2.031768658213251</v>
      </c>
      <c r="C25">
        <v>4.3105004009003043</v>
      </c>
      <c r="D25">
        <v>2.2123419846257422</v>
      </c>
      <c r="E25">
        <v>-0.61924894989475754</v>
      </c>
    </row>
    <row r="26" spans="1:5" x14ac:dyDescent="0.35">
      <c r="A26" s="7">
        <v>45289</v>
      </c>
      <c r="B26">
        <v>3.1487688713068391</v>
      </c>
      <c r="C26">
        <v>4.8901277002884278</v>
      </c>
      <c r="D26">
        <v>3.2762774464677209</v>
      </c>
      <c r="E26">
        <v>-0.92398396637985192</v>
      </c>
    </row>
    <row r="27" spans="1:5" x14ac:dyDescent="0.35">
      <c r="A27" s="7">
        <v>45322</v>
      </c>
      <c r="B27">
        <v>2.9130056403364581</v>
      </c>
      <c r="C27">
        <v>4.2275267583672189</v>
      </c>
      <c r="D27">
        <v>3.6262327042143312</v>
      </c>
      <c r="E27">
        <v>-1.026160722258777</v>
      </c>
    </row>
    <row r="28" spans="1:5" x14ac:dyDescent="0.35">
      <c r="A28" s="7">
        <v>45351</v>
      </c>
      <c r="B28">
        <v>2.896997225020848</v>
      </c>
      <c r="C28">
        <v>4.1619365439347202</v>
      </c>
      <c r="D28">
        <v>3.687430431970097</v>
      </c>
      <c r="E28">
        <v>-1.0630079064175839</v>
      </c>
    </row>
    <row r="29" spans="1:5" x14ac:dyDescent="0.35">
      <c r="A29" s="7">
        <v>45379</v>
      </c>
      <c r="B29">
        <v>2.8268151354081761</v>
      </c>
      <c r="C29">
        <v>4.0034698555012858</v>
      </c>
      <c r="D29">
        <v>3.7785406286608541</v>
      </c>
      <c r="E29">
        <v>-1.0646136887326529</v>
      </c>
    </row>
    <row r="30" spans="1:5" x14ac:dyDescent="0.35">
      <c r="A30" s="7">
        <v>45412</v>
      </c>
      <c r="B30">
        <v>2.7419360424108872</v>
      </c>
      <c r="C30">
        <v>4.2989152799310064</v>
      </c>
      <c r="D30">
        <v>3.6190214583995819</v>
      </c>
      <c r="E30">
        <v>-1.0339963207052549</v>
      </c>
    </row>
    <row r="31" spans="1:5" x14ac:dyDescent="0.35">
      <c r="A31" s="7">
        <v>45443</v>
      </c>
      <c r="B31">
        <v>2.7171205880351419</v>
      </c>
      <c r="C31">
        <v>4.1494403775094062</v>
      </c>
      <c r="D31">
        <v>3.754065447751783</v>
      </c>
      <c r="E31">
        <v>-1.152309228029804</v>
      </c>
    </row>
    <row r="32" spans="1:5" x14ac:dyDescent="0.35">
      <c r="A32" s="7">
        <v>45471</v>
      </c>
      <c r="B32">
        <v>2.5547962372752711</v>
      </c>
      <c r="C32">
        <v>3.8268586206300008</v>
      </c>
      <c r="D32">
        <v>3.8183111631508928</v>
      </c>
      <c r="E32">
        <v>-1.106840948077003</v>
      </c>
    </row>
    <row r="33" spans="1:5" x14ac:dyDescent="0.35">
      <c r="A33" s="7">
        <v>45504</v>
      </c>
      <c r="B33">
        <v>2.820488738692104</v>
      </c>
      <c r="C33">
        <v>4.2183985302747731</v>
      </c>
      <c r="D33">
        <v>4.1017247626603952</v>
      </c>
      <c r="E33">
        <v>-1.2703270780064539</v>
      </c>
    </row>
    <row r="34" spans="1:5" x14ac:dyDescent="0.35">
      <c r="A34" s="7">
        <v>45534</v>
      </c>
      <c r="B34">
        <v>3.101255200081193</v>
      </c>
      <c r="C34">
        <v>4.5558105217500167</v>
      </c>
      <c r="D34">
        <v>4.6322964735741916</v>
      </c>
      <c r="E34">
        <v>-1.447768648458579</v>
      </c>
    </row>
    <row r="35" spans="1:5" x14ac:dyDescent="0.35">
      <c r="A35" s="7">
        <v>45596</v>
      </c>
      <c r="B35">
        <v>5.2404762410872108</v>
      </c>
      <c r="C35">
        <v>52.906457651402079</v>
      </c>
      <c r="D35">
        <v>2.4209168385621931</v>
      </c>
      <c r="E35">
        <v>-0.4359073289630635</v>
      </c>
    </row>
    <row r="36" spans="1:5" x14ac:dyDescent="0.35">
      <c r="A36" s="7">
        <v>45625</v>
      </c>
      <c r="B36">
        <v>4.2658238606645806</v>
      </c>
      <c r="C36">
        <v>18.142336873811988</v>
      </c>
      <c r="D36">
        <v>2.131454368213741</v>
      </c>
      <c r="E36">
        <v>-9.3025069929005902E-2</v>
      </c>
    </row>
    <row r="37" spans="1:5" x14ac:dyDescent="0.35">
      <c r="A37" s="7">
        <v>45657</v>
      </c>
      <c r="B37">
        <v>2.7954112279821581</v>
      </c>
      <c r="C37">
        <v>9.9243675082432041</v>
      </c>
      <c r="D37">
        <v>1.999163516446435</v>
      </c>
      <c r="E37">
        <v>-0.12924782719433409</v>
      </c>
    </row>
    <row r="38" spans="1:5" x14ac:dyDescent="0.35">
      <c r="A38" s="7">
        <v>45688</v>
      </c>
      <c r="B38">
        <v>1.79376485838705</v>
      </c>
      <c r="C38">
        <v>6.6897480696677691</v>
      </c>
      <c r="D38">
        <v>1.811683771197875</v>
      </c>
      <c r="E38">
        <v>7.7766591580812963E-2</v>
      </c>
    </row>
    <row r="39" spans="1:5" x14ac:dyDescent="0.35">
      <c r="A39" s="7">
        <v>45716</v>
      </c>
      <c r="B39">
        <v>1.2485255033102749</v>
      </c>
      <c r="C39">
        <v>3.3190657718126491</v>
      </c>
      <c r="D39">
        <v>2.0871182929741661</v>
      </c>
      <c r="E39">
        <v>0.24868288160827631</v>
      </c>
    </row>
    <row r="40" spans="1:5" x14ac:dyDescent="0.35">
      <c r="A40" s="7">
        <v>45747</v>
      </c>
      <c r="B40">
        <v>0.24751091751295029</v>
      </c>
      <c r="C40">
        <v>0.51945459600817123</v>
      </c>
      <c r="D40">
        <v>2.414042527438514</v>
      </c>
      <c r="E40">
        <v>0.29163338531289212</v>
      </c>
    </row>
    <row r="41" spans="1:5" x14ac:dyDescent="0.35">
      <c r="A41" s="7">
        <v>45777</v>
      </c>
      <c r="B41">
        <v>0.57009376235861875</v>
      </c>
      <c r="C41">
        <v>1.1116184938291369</v>
      </c>
      <c r="D41">
        <v>2.407050716024461</v>
      </c>
      <c r="E41">
        <v>5.0487789090456377E-2</v>
      </c>
    </row>
    <row r="42" spans="1:5" x14ac:dyDescent="0.35">
      <c r="A42" s="7">
        <v>45807</v>
      </c>
      <c r="B42">
        <v>0.65303835998295712</v>
      </c>
      <c r="C42">
        <v>1.3930554143645411</v>
      </c>
      <c r="D42">
        <v>2.9933302350481732</v>
      </c>
      <c r="E42">
        <v>0.42481130120957178</v>
      </c>
    </row>
    <row r="43" spans="1:5" x14ac:dyDescent="0.35">
      <c r="A43" s="7">
        <v>45838</v>
      </c>
      <c r="B43">
        <v>0.72575859385009001</v>
      </c>
      <c r="C43">
        <v>1.5809014087372719</v>
      </c>
      <c r="D43">
        <v>2.7692243712417288</v>
      </c>
      <c r="E43">
        <v>0.37471529490303301</v>
      </c>
    </row>
    <row r="44" spans="1:5" x14ac:dyDescent="0.35">
      <c r="A44" s="7">
        <v>45869</v>
      </c>
      <c r="B44">
        <v>0.55809510147000774</v>
      </c>
      <c r="C44">
        <v>1.182325458670449</v>
      </c>
      <c r="D44">
        <v>3.1488323051730238</v>
      </c>
      <c r="E44">
        <v>0.51931084464729738</v>
      </c>
    </row>
    <row r="45" spans="1:5" x14ac:dyDescent="0.35">
      <c r="A45" s="7">
        <v>45898</v>
      </c>
      <c r="B45">
        <v>0.51361377227373939</v>
      </c>
      <c r="C45">
        <v>1.081373633956475</v>
      </c>
      <c r="D45">
        <v>3.261490838698915</v>
      </c>
      <c r="E45">
        <v>0.57308616443892468</v>
      </c>
    </row>
    <row r="46" spans="1:5" x14ac:dyDescent="0.35">
      <c r="A46" s="7">
        <v>45930</v>
      </c>
      <c r="B46">
        <v>0.82215106728261722</v>
      </c>
      <c r="C46">
        <v>1.87804333462394</v>
      </c>
      <c r="D46">
        <v>2.4769575389757792</v>
      </c>
      <c r="E46">
        <v>0.39321870735293157</v>
      </c>
    </row>
    <row r="47" spans="1:5" x14ac:dyDescent="0.35">
      <c r="A47" s="7">
        <v>45961</v>
      </c>
      <c r="B47">
        <v>1.234936499344891</v>
      </c>
      <c r="C47">
        <v>2.8114542237239419</v>
      </c>
      <c r="D47">
        <v>2.3086211318641099</v>
      </c>
      <c r="E47">
        <v>0.1114212827095139</v>
      </c>
    </row>
    <row r="48" spans="1:5" x14ac:dyDescent="0.35">
      <c r="A48" s="7">
        <v>45989</v>
      </c>
      <c r="B48">
        <v>0.64200953235959879</v>
      </c>
      <c r="C48">
        <v>1.470690662998505</v>
      </c>
      <c r="D48">
        <v>2.0206645685235478</v>
      </c>
      <c r="E48">
        <v>3.3621719106919377E-2</v>
      </c>
    </row>
    <row r="49" spans="1:5" x14ac:dyDescent="0.35">
      <c r="A49" s="7">
        <v>46022</v>
      </c>
      <c r="B49">
        <v>1.1260282303631279</v>
      </c>
      <c r="C49">
        <v>2.226293866410114</v>
      </c>
      <c r="D49">
        <v>2.3053287576327119</v>
      </c>
      <c r="E49">
        <v>-0.22430189892439359</v>
      </c>
    </row>
    <row r="50" spans="1:5" x14ac:dyDescent="0.35">
      <c r="A50" s="7">
        <v>46052</v>
      </c>
      <c r="B50">
        <v>2.0406467434729749</v>
      </c>
      <c r="C50">
        <v>3.818560972674371</v>
      </c>
      <c r="D50">
        <v>2.518576496493973</v>
      </c>
      <c r="E50">
        <v>-0.2732645404231</v>
      </c>
    </row>
    <row r="51" spans="1:5" x14ac:dyDescent="0.35">
      <c r="A51" s="7">
        <v>46080</v>
      </c>
      <c r="B51">
        <v>1.959726766631755</v>
      </c>
      <c r="C51">
        <v>4.279842962800366</v>
      </c>
      <c r="D51">
        <v>2.4335638698800879</v>
      </c>
      <c r="E51">
        <v>-0.24293098741295921</v>
      </c>
    </row>
    <row r="52" spans="1:5" x14ac:dyDescent="0.35">
      <c r="A52" s="7">
        <v>46112</v>
      </c>
      <c r="B52">
        <v>2.1612614579969902</v>
      </c>
      <c r="C52">
        <v>4.8677539298998092</v>
      </c>
      <c r="D52">
        <v>2.4708333503215538</v>
      </c>
      <c r="E52">
        <v>-0.16668732973782829</v>
      </c>
    </row>
    <row r="53" spans="1:5" x14ac:dyDescent="0.35">
      <c r="A53" s="7">
        <v>46142</v>
      </c>
      <c r="B53">
        <v>2.328006909730802</v>
      </c>
      <c r="C53">
        <v>5.2616883073772929</v>
      </c>
      <c r="D53">
        <v>2.4699739152328299</v>
      </c>
      <c r="E53">
        <v>-0.27351397684494722</v>
      </c>
    </row>
    <row r="54" spans="1:5" x14ac:dyDescent="0.35">
      <c r="A54" s="7">
        <v>46171</v>
      </c>
      <c r="B54">
        <v>2.162540351950895</v>
      </c>
      <c r="C54">
        <v>4.523841136466995</v>
      </c>
      <c r="D54">
        <v>2.8116629133824591</v>
      </c>
      <c r="E54">
        <v>-0.3646868284118841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5"/>
  <sheetViews>
    <sheetView topLeftCell="A33" workbookViewId="0">
      <selection activeCell="D1" activeCellId="1" sqref="A1:A55 D1:E55"/>
    </sheetView>
  </sheetViews>
  <sheetFormatPr defaultRowHeight="14.5" x14ac:dyDescent="0.35"/>
  <cols>
    <col min="1" max="1" width="10.08984375" bestFit="1" customWidth="1"/>
    <col min="2" max="2" width="21.81640625" hidden="1" customWidth="1"/>
    <col min="3" max="3" width="21.81640625" customWidth="1"/>
    <col min="4" max="4" width="24.6328125" bestFit="1" customWidth="1"/>
    <col min="5" max="5" width="27.26953125" bestFit="1" customWidth="1"/>
  </cols>
  <sheetData>
    <row r="1" spans="1:5" x14ac:dyDescent="0.35">
      <c r="A1" s="7" t="s">
        <v>28</v>
      </c>
      <c r="B1" t="s">
        <v>39</v>
      </c>
      <c r="C1" t="s">
        <v>39</v>
      </c>
      <c r="D1" t="s">
        <v>40</v>
      </c>
      <c r="E1" t="s">
        <v>41</v>
      </c>
    </row>
    <row r="2" spans="1:5" x14ac:dyDescent="0.35">
      <c r="A2" s="7">
        <v>44531</v>
      </c>
      <c r="B2">
        <v>-58.76115852665545</v>
      </c>
      <c r="C2">
        <f>B2/100</f>
        <v>-0.58761158526655455</v>
      </c>
      <c r="D2">
        <v>55.906134946787553</v>
      </c>
      <c r="E2">
        <v>29.020227229963702</v>
      </c>
    </row>
    <row r="3" spans="1:5" x14ac:dyDescent="0.35">
      <c r="A3" s="7">
        <v>44562</v>
      </c>
      <c r="B3">
        <v>-25.535411207226311</v>
      </c>
      <c r="C3">
        <f t="shared" ref="C3:C55" si="0">B3/100</f>
        <v>-0.25535411207226311</v>
      </c>
      <c r="D3">
        <v>60.701515766562807</v>
      </c>
      <c r="E3">
        <v>35.605673122165378</v>
      </c>
    </row>
    <row r="4" spans="1:5" x14ac:dyDescent="0.35">
      <c r="A4" s="7">
        <v>44593</v>
      </c>
      <c r="B4">
        <v>-13.267537913685199</v>
      </c>
      <c r="C4">
        <f t="shared" si="0"/>
        <v>-0.13267537913685198</v>
      </c>
      <c r="D4">
        <v>59.691104632389823</v>
      </c>
      <c r="E4">
        <v>10.100504178246499</v>
      </c>
    </row>
    <row r="5" spans="1:5" x14ac:dyDescent="0.35">
      <c r="A5" s="7">
        <v>44621</v>
      </c>
      <c r="B5">
        <v>-26.386082394246611</v>
      </c>
      <c r="C5">
        <f t="shared" si="0"/>
        <v>-0.26386082394246613</v>
      </c>
      <c r="D5">
        <v>59.865889900362824</v>
      </c>
      <c r="E5">
        <v>29.251272471918551</v>
      </c>
    </row>
    <row r="6" spans="1:5" x14ac:dyDescent="0.35">
      <c r="A6" s="7">
        <v>44652</v>
      </c>
      <c r="B6">
        <v>-9.0564683887952562</v>
      </c>
      <c r="C6">
        <f t="shared" si="0"/>
        <v>-9.0564683887952566E-2</v>
      </c>
      <c r="D6">
        <v>56.436506436164471</v>
      </c>
      <c r="E6">
        <v>44.741002745719101</v>
      </c>
    </row>
    <row r="7" spans="1:5" x14ac:dyDescent="0.35">
      <c r="A7" s="7">
        <v>44682</v>
      </c>
      <c r="B7">
        <v>-6.4128477055492699</v>
      </c>
      <c r="C7">
        <f t="shared" si="0"/>
        <v>-6.4128477055492697E-2</v>
      </c>
      <c r="D7">
        <v>57.412035199643597</v>
      </c>
      <c r="E7">
        <v>44.741002745719101</v>
      </c>
    </row>
    <row r="8" spans="1:5" x14ac:dyDescent="0.35">
      <c r="A8" s="7">
        <v>44713</v>
      </c>
      <c r="B8">
        <v>8.438014954569077</v>
      </c>
      <c r="C8">
        <f t="shared" si="0"/>
        <v>8.4380149545690772E-2</v>
      </c>
      <c r="D8">
        <v>58.424437283595182</v>
      </c>
      <c r="E8">
        <v>52.903497578694306</v>
      </c>
    </row>
    <row r="9" spans="1:5" x14ac:dyDescent="0.35">
      <c r="A9" s="7">
        <v>44743</v>
      </c>
      <c r="B9">
        <v>-1.7900280260487761E-2</v>
      </c>
      <c r="C9">
        <f t="shared" si="0"/>
        <v>-1.790028026048776E-4</v>
      </c>
      <c r="D9">
        <v>58.553759314755048</v>
      </c>
      <c r="E9">
        <v>52.903497578694306</v>
      </c>
    </row>
    <row r="10" spans="1:5" x14ac:dyDescent="0.35">
      <c r="A10" s="7">
        <v>44774</v>
      </c>
      <c r="B10">
        <v>10.890134674001191</v>
      </c>
      <c r="C10">
        <f t="shared" si="0"/>
        <v>0.10890134674001191</v>
      </c>
      <c r="D10">
        <v>59.070131146434107</v>
      </c>
      <c r="E10">
        <v>55.591521825013679</v>
      </c>
    </row>
    <row r="11" spans="1:5" x14ac:dyDescent="0.35">
      <c r="A11" s="7">
        <v>44805</v>
      </c>
      <c r="B11">
        <v>12.28976787449254</v>
      </c>
      <c r="C11">
        <f t="shared" si="0"/>
        <v>0.1228976787449254</v>
      </c>
      <c r="D11">
        <v>59.070131146434107</v>
      </c>
      <c r="E11">
        <v>59.746577030609771</v>
      </c>
    </row>
    <row r="12" spans="1:5" x14ac:dyDescent="0.35">
      <c r="A12" s="7">
        <v>44835</v>
      </c>
      <c r="B12">
        <v>46.298653256933747</v>
      </c>
      <c r="C12">
        <f t="shared" si="0"/>
        <v>0.46298653256933747</v>
      </c>
      <c r="D12">
        <v>99.726908684657175</v>
      </c>
      <c r="E12">
        <v>59.746577030609771</v>
      </c>
    </row>
    <row r="13" spans="1:5" x14ac:dyDescent="0.35">
      <c r="A13" s="7">
        <v>44866</v>
      </c>
      <c r="B13">
        <v>41.924842149605119</v>
      </c>
      <c r="C13">
        <f t="shared" si="0"/>
        <v>0.41924842149605118</v>
      </c>
      <c r="D13">
        <v>96.000823833508576</v>
      </c>
      <c r="E13">
        <v>59.746577030609771</v>
      </c>
    </row>
    <row r="14" spans="1:5" x14ac:dyDescent="0.35">
      <c r="A14" s="7">
        <v>44896</v>
      </c>
      <c r="B14">
        <v>44.658787965846543</v>
      </c>
      <c r="C14">
        <f t="shared" si="0"/>
        <v>0.44658787965846541</v>
      </c>
      <c r="D14">
        <v>96.000823833508576</v>
      </c>
      <c r="E14">
        <v>61.555640091028188</v>
      </c>
    </row>
    <row r="15" spans="1:5" x14ac:dyDescent="0.35">
      <c r="A15" s="7">
        <v>44927</v>
      </c>
      <c r="B15">
        <v>25.073803424213761</v>
      </c>
      <c r="C15">
        <f t="shared" si="0"/>
        <v>0.25073803424213759</v>
      </c>
      <c r="D15">
        <v>89.222330912507843</v>
      </c>
      <c r="E15">
        <v>65.662128258879747</v>
      </c>
    </row>
    <row r="16" spans="1:5" x14ac:dyDescent="0.35">
      <c r="A16" s="7">
        <v>44958</v>
      </c>
      <c r="B16">
        <v>20.15502547030756</v>
      </c>
      <c r="C16">
        <f t="shared" si="0"/>
        <v>0.20155025470307561</v>
      </c>
      <c r="D16">
        <v>93.072479088251214</v>
      </c>
      <c r="E16">
        <v>73.539796873843059</v>
      </c>
    </row>
    <row r="17" spans="1:5" x14ac:dyDescent="0.35">
      <c r="A17" s="7">
        <v>44986</v>
      </c>
      <c r="B17">
        <v>12.15065813460442</v>
      </c>
      <c r="C17">
        <f t="shared" si="0"/>
        <v>0.1215065813460442</v>
      </c>
      <c r="D17">
        <v>87.964707801130047</v>
      </c>
      <c r="E17">
        <v>73.539796873843059</v>
      </c>
    </row>
    <row r="18" spans="1:5" x14ac:dyDescent="0.35">
      <c r="A18" s="7">
        <v>45017</v>
      </c>
      <c r="B18">
        <v>-1.6147703878691479</v>
      </c>
      <c r="C18">
        <f t="shared" si="0"/>
        <v>-1.614770387869148E-2</v>
      </c>
      <c r="D18">
        <v>86.082446985163074</v>
      </c>
      <c r="E18">
        <v>79.181268543288127</v>
      </c>
    </row>
    <row r="19" spans="1:5" x14ac:dyDescent="0.35">
      <c r="A19" s="7">
        <v>45047</v>
      </c>
      <c r="B19">
        <v>-18.395841379005631</v>
      </c>
      <c r="C19">
        <f t="shared" si="0"/>
        <v>-0.18395841379005631</v>
      </c>
      <c r="D19">
        <v>75.976482233310946</v>
      </c>
      <c r="E19">
        <v>79.181268543288127</v>
      </c>
    </row>
    <row r="20" spans="1:5" x14ac:dyDescent="0.35">
      <c r="A20" s="7">
        <v>45078</v>
      </c>
      <c r="B20">
        <v>-22.95961388586279</v>
      </c>
      <c r="C20">
        <f t="shared" si="0"/>
        <v>-0.2295961388586279</v>
      </c>
      <c r="D20">
        <v>77.511700008556801</v>
      </c>
      <c r="E20">
        <v>80.073451018988763</v>
      </c>
    </row>
    <row r="21" spans="1:5" x14ac:dyDescent="0.35">
      <c r="A21" s="7">
        <v>45108</v>
      </c>
      <c r="B21">
        <v>-19.015923342455199</v>
      </c>
      <c r="C21">
        <f t="shared" si="0"/>
        <v>-0.19015923342455199</v>
      </c>
      <c r="D21">
        <v>78.666491470587658</v>
      </c>
      <c r="E21">
        <v>80.073451018988763</v>
      </c>
    </row>
    <row r="22" spans="1:5" x14ac:dyDescent="0.35">
      <c r="A22" s="7">
        <v>45139</v>
      </c>
      <c r="B22">
        <v>-25.08796197659116</v>
      </c>
      <c r="C22">
        <f t="shared" si="0"/>
        <v>-0.25087961976591161</v>
      </c>
      <c r="D22">
        <v>78.113659900761789</v>
      </c>
      <c r="E22">
        <v>84.68251869833351</v>
      </c>
    </row>
    <row r="23" spans="1:5" x14ac:dyDescent="0.35">
      <c r="A23" s="7">
        <v>45170</v>
      </c>
      <c r="B23">
        <v>-26.671652912473661</v>
      </c>
      <c r="C23">
        <f t="shared" si="0"/>
        <v>-0.26671652912473659</v>
      </c>
      <c r="D23">
        <v>78.113659900761789</v>
      </c>
      <c r="E23">
        <v>84.68945542933028</v>
      </c>
    </row>
    <row r="24" spans="1:5" x14ac:dyDescent="0.35">
      <c r="A24" s="7">
        <v>45200</v>
      </c>
      <c r="B24">
        <v>-48.063592416685061</v>
      </c>
      <c r="C24">
        <f t="shared" si="0"/>
        <v>-0.48063592416685064</v>
      </c>
      <c r="D24">
        <v>63.973775859674909</v>
      </c>
      <c r="E24">
        <v>61.228959460365758</v>
      </c>
    </row>
    <row r="25" spans="1:5" x14ac:dyDescent="0.35">
      <c r="A25" s="7">
        <v>45231</v>
      </c>
      <c r="B25">
        <v>-48.939456235103442</v>
      </c>
      <c r="C25">
        <f t="shared" si="0"/>
        <v>-0.4893945623510344</v>
      </c>
      <c r="D25">
        <v>61.808966106710969</v>
      </c>
      <c r="E25">
        <v>61.228959460365758</v>
      </c>
    </row>
    <row r="26" spans="1:5" x14ac:dyDescent="0.35">
      <c r="A26" s="7">
        <v>45261</v>
      </c>
      <c r="B26">
        <v>-60.580858243392228</v>
      </c>
      <c r="C26">
        <f t="shared" si="0"/>
        <v>-0.60580858243392233</v>
      </c>
      <c r="D26">
        <v>62.380593611693058</v>
      </c>
      <c r="E26">
        <v>53.723995387342093</v>
      </c>
    </row>
    <row r="27" spans="1:5" x14ac:dyDescent="0.35">
      <c r="A27" s="7">
        <v>45292</v>
      </c>
      <c r="B27">
        <v>-63.09902433036526</v>
      </c>
      <c r="C27">
        <f t="shared" si="0"/>
        <v>-0.63099024330365261</v>
      </c>
      <c r="D27">
        <v>58.297673244461969</v>
      </c>
      <c r="E27">
        <v>53.723995387342093</v>
      </c>
    </row>
    <row r="28" spans="1:5" x14ac:dyDescent="0.35">
      <c r="A28" s="7">
        <v>45323</v>
      </c>
      <c r="B28">
        <v>-79.8015316298183</v>
      </c>
      <c r="C28">
        <f t="shared" si="0"/>
        <v>-0.79801531629818301</v>
      </c>
      <c r="D28">
        <v>53.74681446751152</v>
      </c>
      <c r="E28">
        <v>53.723995387342093</v>
      </c>
    </row>
    <row r="29" spans="1:5" x14ac:dyDescent="0.35">
      <c r="A29" s="7">
        <v>45352</v>
      </c>
      <c r="B29">
        <v>-68.369390864996433</v>
      </c>
      <c r="C29">
        <f t="shared" si="0"/>
        <v>-0.68369390864996438</v>
      </c>
      <c r="D29">
        <v>56.899541600074279</v>
      </c>
      <c r="E29">
        <v>53.723995387342093</v>
      </c>
    </row>
    <row r="30" spans="1:5" x14ac:dyDescent="0.35">
      <c r="A30" s="7">
        <v>45383</v>
      </c>
      <c r="B30">
        <v>-55.186157542221103</v>
      </c>
      <c r="C30">
        <f t="shared" si="0"/>
        <v>-0.55186157542221104</v>
      </c>
      <c r="D30">
        <v>58.321494797736072</v>
      </c>
      <c r="E30">
        <v>46.514134359686317</v>
      </c>
    </row>
    <row r="31" spans="1:5" x14ac:dyDescent="0.35">
      <c r="A31" s="7">
        <v>45413</v>
      </c>
      <c r="B31">
        <v>-52.767512871468391</v>
      </c>
      <c r="C31">
        <f t="shared" si="0"/>
        <v>-0.52767512871468392</v>
      </c>
      <c r="D31">
        <v>63.888438699985429</v>
      </c>
      <c r="E31">
        <v>46.514134359686317</v>
      </c>
    </row>
    <row r="32" spans="1:5" x14ac:dyDescent="0.35">
      <c r="A32" s="7">
        <v>45444</v>
      </c>
      <c r="B32">
        <v>-64.019276610271106</v>
      </c>
      <c r="C32">
        <f t="shared" si="0"/>
        <v>-0.64019276610271103</v>
      </c>
      <c r="D32">
        <v>58.483739337698239</v>
      </c>
      <c r="E32">
        <v>46.514134359686317</v>
      </c>
    </row>
    <row r="33" spans="1:5" x14ac:dyDescent="0.35">
      <c r="A33" s="7">
        <v>45474</v>
      </c>
      <c r="B33">
        <v>-27.058325191463471</v>
      </c>
      <c r="C33">
        <f t="shared" si="0"/>
        <v>-0.27058325191463473</v>
      </c>
      <c r="D33">
        <v>59.368710383179888</v>
      </c>
      <c r="E33">
        <v>5.2288282937396717</v>
      </c>
    </row>
    <row r="34" spans="1:5" x14ac:dyDescent="0.35">
      <c r="A34" s="7">
        <v>45505</v>
      </c>
      <c r="B34">
        <v>-23.797777695019061</v>
      </c>
      <c r="C34">
        <f t="shared" si="0"/>
        <v>-0.23797777695019062</v>
      </c>
      <c r="D34">
        <v>61.936708508101233</v>
      </c>
      <c r="E34">
        <v>5.2288282937396717</v>
      </c>
    </row>
    <row r="35" spans="1:5" x14ac:dyDescent="0.35">
      <c r="A35" s="7">
        <v>45536</v>
      </c>
      <c r="B35">
        <v>-25.595634986531699</v>
      </c>
      <c r="C35">
        <f t="shared" si="0"/>
        <v>-0.25595634986531701</v>
      </c>
      <c r="D35">
        <v>62.14172736404349</v>
      </c>
      <c r="E35">
        <v>-79.928793757677553</v>
      </c>
    </row>
    <row r="36" spans="1:5" x14ac:dyDescent="0.35">
      <c r="A36" s="7">
        <v>45566</v>
      </c>
      <c r="B36">
        <v>-38.469054746563891</v>
      </c>
      <c r="C36">
        <f t="shared" si="0"/>
        <v>-0.38469054746563891</v>
      </c>
      <c r="D36">
        <v>59.903784417750728</v>
      </c>
      <c r="E36">
        <v>-39.400756939787193</v>
      </c>
    </row>
    <row r="37" spans="1:5" x14ac:dyDescent="0.35">
      <c r="A37" s="7">
        <v>45597</v>
      </c>
      <c r="B37">
        <v>-33.921570631132113</v>
      </c>
      <c r="C37">
        <f t="shared" si="0"/>
        <v>-0.33921570631132114</v>
      </c>
      <c r="D37">
        <v>58.911199934797303</v>
      </c>
      <c r="E37">
        <v>-39.400756939787193</v>
      </c>
    </row>
    <row r="38" spans="1:5" x14ac:dyDescent="0.35">
      <c r="A38" s="7">
        <v>45627</v>
      </c>
      <c r="B38">
        <v>-39.995182316160381</v>
      </c>
      <c r="C38">
        <f t="shared" si="0"/>
        <v>-0.39995182316160383</v>
      </c>
      <c r="D38">
        <v>50.55144128335273</v>
      </c>
      <c r="E38">
        <v>-39.400756939787193</v>
      </c>
    </row>
    <row r="39" spans="1:5" x14ac:dyDescent="0.35">
      <c r="A39" s="7">
        <v>45658</v>
      </c>
      <c r="B39">
        <v>-27.9079367344278</v>
      </c>
      <c r="C39">
        <f t="shared" si="0"/>
        <v>-0.27907936734427802</v>
      </c>
      <c r="D39">
        <v>52.416761620926209</v>
      </c>
      <c r="E39">
        <v>0.93355035873024117</v>
      </c>
    </row>
    <row r="40" spans="1:5" x14ac:dyDescent="0.35">
      <c r="A40" s="7">
        <v>45689</v>
      </c>
      <c r="B40">
        <v>-12.94081668607722</v>
      </c>
      <c r="C40">
        <f t="shared" si="0"/>
        <v>-0.12940816686077219</v>
      </c>
      <c r="D40">
        <v>49.057524346629243</v>
      </c>
      <c r="E40">
        <v>-0.35449662824740569</v>
      </c>
    </row>
    <row r="41" spans="1:5" x14ac:dyDescent="0.35">
      <c r="A41" s="7">
        <v>45717</v>
      </c>
      <c r="B41">
        <v>-4.8518539791405511</v>
      </c>
      <c r="C41">
        <f t="shared" si="0"/>
        <v>-4.851853979140551E-2</v>
      </c>
      <c r="D41">
        <v>40.808507985589337</v>
      </c>
      <c r="E41">
        <v>23.97932791841281</v>
      </c>
    </row>
    <row r="42" spans="1:5" x14ac:dyDescent="0.35">
      <c r="A42" s="7">
        <v>45748</v>
      </c>
      <c r="B42">
        <v>-13.33458154742355</v>
      </c>
      <c r="C42">
        <f t="shared" si="0"/>
        <v>-0.13334581547423549</v>
      </c>
      <c r="D42">
        <v>43.798160645257568</v>
      </c>
      <c r="E42">
        <v>21.59836026748804</v>
      </c>
    </row>
    <row r="43" spans="1:5" x14ac:dyDescent="0.35">
      <c r="A43" s="7">
        <v>45778</v>
      </c>
      <c r="B43">
        <v>-18.720976112816889</v>
      </c>
      <c r="C43">
        <f t="shared" si="0"/>
        <v>-0.18720976112816889</v>
      </c>
      <c r="D43">
        <v>43.05219117262714</v>
      </c>
      <c r="E43">
        <v>21.59836026748804</v>
      </c>
    </row>
    <row r="44" spans="1:5" x14ac:dyDescent="0.35">
      <c r="A44" s="7">
        <v>45809</v>
      </c>
      <c r="B44">
        <v>-20.942220944263291</v>
      </c>
      <c r="C44">
        <f t="shared" si="0"/>
        <v>-0.2094222094426329</v>
      </c>
      <c r="D44">
        <v>43.172632338177621</v>
      </c>
      <c r="E44">
        <v>21.59836026748804</v>
      </c>
    </row>
    <row r="45" spans="1:5" x14ac:dyDescent="0.35">
      <c r="A45" s="7">
        <v>45839</v>
      </c>
      <c r="B45">
        <v>-60.423455198366348</v>
      </c>
      <c r="C45">
        <f t="shared" si="0"/>
        <v>-0.60423455198366349</v>
      </c>
      <c r="D45">
        <v>40.400282405106097</v>
      </c>
      <c r="E45">
        <v>59.113127907006373</v>
      </c>
    </row>
    <row r="46" spans="1:5" x14ac:dyDescent="0.35">
      <c r="A46" s="7">
        <v>45870</v>
      </c>
      <c r="B46">
        <v>-45.975227423594632</v>
      </c>
      <c r="C46">
        <f t="shared" si="0"/>
        <v>-0.45975227423594633</v>
      </c>
      <c r="D46">
        <v>36.329694785384731</v>
      </c>
      <c r="E46">
        <v>38.1287064733324</v>
      </c>
    </row>
    <row r="47" spans="1:5" x14ac:dyDescent="0.35">
      <c r="A47" s="7">
        <v>45901</v>
      </c>
      <c r="B47">
        <v>-40.146765051598457</v>
      </c>
      <c r="C47">
        <f t="shared" si="0"/>
        <v>-0.4014676505159846</v>
      </c>
      <c r="D47">
        <v>43.833040283935169</v>
      </c>
      <c r="E47">
        <v>38.1287064733324</v>
      </c>
    </row>
    <row r="48" spans="1:5" x14ac:dyDescent="0.35">
      <c r="A48" s="7">
        <v>45931</v>
      </c>
      <c r="B48">
        <v>-42.3478462882263</v>
      </c>
      <c r="C48">
        <f t="shared" si="0"/>
        <v>-0.42347846288226298</v>
      </c>
      <c r="D48">
        <v>48.170429742750812</v>
      </c>
      <c r="E48">
        <v>38.1287064733324</v>
      </c>
    </row>
    <row r="49" spans="1:5" x14ac:dyDescent="0.35">
      <c r="A49" s="7">
        <v>45962</v>
      </c>
      <c r="B49">
        <v>-37.487290916453773</v>
      </c>
      <c r="C49">
        <f t="shared" si="0"/>
        <v>-0.37487290916453775</v>
      </c>
      <c r="D49">
        <v>50.123383304200608</v>
      </c>
      <c r="E49">
        <v>55.755588470264733</v>
      </c>
    </row>
    <row r="50" spans="1:5" x14ac:dyDescent="0.35">
      <c r="A50" s="7">
        <v>45992</v>
      </c>
      <c r="B50">
        <v>-18.94491418513433</v>
      </c>
      <c r="C50">
        <f t="shared" si="0"/>
        <v>-0.18944914185134329</v>
      </c>
      <c r="D50">
        <v>58.258878485609813</v>
      </c>
      <c r="E50">
        <v>41.384761878345152</v>
      </c>
    </row>
    <row r="51" spans="1:5" x14ac:dyDescent="0.35">
      <c r="A51" s="7">
        <v>46023</v>
      </c>
      <c r="B51">
        <v>4.4929706539922636</v>
      </c>
      <c r="C51">
        <f t="shared" si="0"/>
        <v>4.4929706539922634E-2</v>
      </c>
      <c r="D51">
        <v>58.258878485609813</v>
      </c>
      <c r="E51">
        <v>-25.074559329973479</v>
      </c>
    </row>
    <row r="52" spans="1:5" x14ac:dyDescent="0.35">
      <c r="A52" s="7">
        <v>46054</v>
      </c>
      <c r="B52">
        <v>7.4626237505683806</v>
      </c>
      <c r="C52">
        <f t="shared" si="0"/>
        <v>7.4626237505683812E-2</v>
      </c>
      <c r="D52">
        <v>58.258878485609813</v>
      </c>
      <c r="E52">
        <v>-18.43312473761112</v>
      </c>
    </row>
    <row r="53" spans="1:5" x14ac:dyDescent="0.35">
      <c r="A53" s="7">
        <v>46082</v>
      </c>
      <c r="B53">
        <v>8.5588679950914272E-3</v>
      </c>
      <c r="C53">
        <f t="shared" si="0"/>
        <v>8.5588679950914266E-5</v>
      </c>
      <c r="D53">
        <v>58.258878485609813</v>
      </c>
      <c r="E53">
        <v>-34.680092173256</v>
      </c>
    </row>
    <row r="54" spans="1:5" x14ac:dyDescent="0.35">
      <c r="A54" s="7">
        <v>46113</v>
      </c>
      <c r="B54">
        <v>-12.93394607433984</v>
      </c>
      <c r="C54">
        <f t="shared" si="0"/>
        <v>-0.12933946074339839</v>
      </c>
      <c r="D54">
        <v>50.784427272381357</v>
      </c>
      <c r="E54">
        <v>-34.680092173256</v>
      </c>
    </row>
    <row r="55" spans="1:5" x14ac:dyDescent="0.35">
      <c r="A55" s="7">
        <v>46143</v>
      </c>
      <c r="B55">
        <v>-9.5179129705903573</v>
      </c>
      <c r="C55">
        <f t="shared" si="0"/>
        <v>-9.5179129705903573E-2</v>
      </c>
      <c r="D55">
        <v>49.589308832178787</v>
      </c>
      <c r="E55">
        <v>-34.680092173256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4D96-FA29-41D8-8B82-654ECBE64670}">
  <dimension ref="A1"/>
  <sheetViews>
    <sheetView topLeftCell="A44" workbookViewId="0">
      <selection activeCell="P54" sqref="P5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6"/>
  <sheetViews>
    <sheetView workbookViewId="0">
      <selection activeCell="B22" sqref="B22"/>
    </sheetView>
  </sheetViews>
  <sheetFormatPr defaultRowHeight="14.5" x14ac:dyDescent="0.35"/>
  <cols>
    <col min="1" max="1" width="17.81640625" bestFit="1" customWidth="1"/>
  </cols>
  <sheetData>
    <row r="1" spans="1:3" x14ac:dyDescent="0.35">
      <c r="A1" t="s">
        <v>28</v>
      </c>
      <c r="B1" t="s">
        <v>42</v>
      </c>
      <c r="C1" t="s">
        <v>43</v>
      </c>
    </row>
    <row r="2" spans="1:3" x14ac:dyDescent="0.35">
      <c r="A2" s="4">
        <v>44197</v>
      </c>
      <c r="B2">
        <v>973.88105755746835</v>
      </c>
      <c r="C2">
        <v>1010.848235011909</v>
      </c>
    </row>
    <row r="3" spans="1:3" x14ac:dyDescent="0.35">
      <c r="A3" s="4">
        <v>44228</v>
      </c>
      <c r="B3">
        <v>998.32914535753798</v>
      </c>
      <c r="C3">
        <v>1041.8767344555019</v>
      </c>
    </row>
    <row r="4" spans="1:3" x14ac:dyDescent="0.35">
      <c r="A4" s="4">
        <v>44256</v>
      </c>
      <c r="B4">
        <v>1035.2331587602289</v>
      </c>
      <c r="C4">
        <v>1035.651844972564</v>
      </c>
    </row>
    <row r="5" spans="1:3" x14ac:dyDescent="0.35">
      <c r="A5" s="4">
        <v>44287</v>
      </c>
      <c r="B5">
        <v>1104.3021625680619</v>
      </c>
      <c r="C5">
        <v>1113.679292603975</v>
      </c>
    </row>
    <row r="6" spans="1:3" x14ac:dyDescent="0.35">
      <c r="A6" s="4">
        <v>44317</v>
      </c>
      <c r="B6">
        <v>1131.1140192495629</v>
      </c>
      <c r="C6">
        <v>1153.8475013145901</v>
      </c>
    </row>
    <row r="7" spans="1:3" x14ac:dyDescent="0.35">
      <c r="A7" s="4">
        <v>44348</v>
      </c>
      <c r="B7">
        <v>1210.5988703714529</v>
      </c>
      <c r="C7">
        <v>1304.7367402983641</v>
      </c>
    </row>
    <row r="8" spans="1:3" x14ac:dyDescent="0.35">
      <c r="A8" s="4">
        <v>44378</v>
      </c>
      <c r="B8">
        <v>1224.25194051372</v>
      </c>
      <c r="C8">
        <v>1330.921419513671</v>
      </c>
    </row>
    <row r="9" spans="1:3" x14ac:dyDescent="0.35">
      <c r="A9" s="4">
        <v>44409</v>
      </c>
      <c r="B9">
        <v>1282.018039210652</v>
      </c>
      <c r="C9">
        <v>1444.204586680926</v>
      </c>
    </row>
    <row r="10" spans="1:3" x14ac:dyDescent="0.35">
      <c r="A10" s="4">
        <v>44440</v>
      </c>
      <c r="B10">
        <v>1203.628318889113</v>
      </c>
      <c r="C10">
        <v>1355.6987101254069</v>
      </c>
    </row>
    <row r="11" spans="1:3" x14ac:dyDescent="0.35">
      <c r="A11" s="4">
        <v>44470</v>
      </c>
      <c r="B11">
        <v>1301.739040853545</v>
      </c>
      <c r="C11">
        <v>1591.179331045892</v>
      </c>
    </row>
    <row r="12" spans="1:3" x14ac:dyDescent="0.35">
      <c r="A12" s="4">
        <v>44501</v>
      </c>
      <c r="B12">
        <v>1407.238155020772</v>
      </c>
      <c r="C12">
        <v>1781.1398983485401</v>
      </c>
    </row>
    <row r="13" spans="1:3" x14ac:dyDescent="0.35">
      <c r="A13" s="4">
        <v>44531</v>
      </c>
      <c r="B13">
        <v>1410.7998437979561</v>
      </c>
      <c r="C13">
        <v>1768.064768762888</v>
      </c>
    </row>
    <row r="14" spans="1:3" x14ac:dyDescent="0.35">
      <c r="A14" s="4">
        <v>44562</v>
      </c>
      <c r="B14">
        <v>1341.2359935558561</v>
      </c>
      <c r="C14">
        <v>1547.6112287401279</v>
      </c>
    </row>
    <row r="15" spans="1:3" x14ac:dyDescent="0.35">
      <c r="A15" s="4">
        <v>44593</v>
      </c>
      <c r="B15">
        <v>1409.0202428503981</v>
      </c>
      <c r="C15">
        <v>1543.176534583466</v>
      </c>
    </row>
    <row r="16" spans="1:3" x14ac:dyDescent="0.35">
      <c r="A16" s="4">
        <v>44621</v>
      </c>
      <c r="B16">
        <v>1465.569756329319</v>
      </c>
      <c r="C16">
        <v>1643.7451444971121</v>
      </c>
    </row>
    <row r="17" spans="1:3" x14ac:dyDescent="0.35">
      <c r="A17" s="4">
        <v>44652</v>
      </c>
      <c r="B17">
        <v>1291.708391583913</v>
      </c>
      <c r="C17">
        <v>1319.546655447373</v>
      </c>
    </row>
    <row r="18" spans="1:3" x14ac:dyDescent="0.35">
      <c r="A18" s="4">
        <v>44682</v>
      </c>
      <c r="B18">
        <v>1312.6802168071069</v>
      </c>
      <c r="C18">
        <v>1334.520947078398</v>
      </c>
    </row>
    <row r="19" spans="1:3" x14ac:dyDescent="0.35">
      <c r="A19" s="4">
        <v>44713</v>
      </c>
      <c r="B19">
        <v>1177.774111773829</v>
      </c>
      <c r="C19">
        <v>1156.2780695784541</v>
      </c>
    </row>
    <row r="20" spans="1:3" x14ac:dyDescent="0.35">
      <c r="A20" s="4">
        <v>44743</v>
      </c>
      <c r="B20">
        <v>1277.504627315217</v>
      </c>
      <c r="C20">
        <v>1323.214326395133</v>
      </c>
    </row>
    <row r="21" spans="1:3" x14ac:dyDescent="0.35">
      <c r="A21" s="4">
        <v>44774</v>
      </c>
      <c r="B21">
        <v>1187.1755054156749</v>
      </c>
      <c r="C21">
        <v>1188.6296589431199</v>
      </c>
    </row>
    <row r="22" spans="1:3" x14ac:dyDescent="0.35">
      <c r="A22" s="4">
        <v>44805</v>
      </c>
      <c r="B22">
        <v>1022.02059952755</v>
      </c>
      <c r="C22">
        <v>1012.6367747865989</v>
      </c>
    </row>
    <row r="23" spans="1:3" x14ac:dyDescent="0.35">
      <c r="A23" s="4">
        <v>44835</v>
      </c>
      <c r="B23">
        <v>1204.358503229076</v>
      </c>
      <c r="C23">
        <v>1074.733932684896</v>
      </c>
    </row>
    <row r="24" spans="1:3" x14ac:dyDescent="0.35">
      <c r="A24" s="4">
        <v>44866</v>
      </c>
      <c r="B24">
        <v>1338.700771407583</v>
      </c>
      <c r="C24">
        <v>1253.938686592983</v>
      </c>
    </row>
    <row r="25" spans="1:3" x14ac:dyDescent="0.35">
      <c r="A25" s="4">
        <v>44896</v>
      </c>
      <c r="B25">
        <v>1260.883548476131</v>
      </c>
      <c r="C25">
        <v>1147.530776436103</v>
      </c>
    </row>
    <row r="26" spans="1:3" x14ac:dyDescent="0.35">
      <c r="A26" s="4">
        <v>44927</v>
      </c>
      <c r="B26">
        <v>1400.0668188935749</v>
      </c>
      <c r="C26">
        <v>1328.6435571474969</v>
      </c>
    </row>
    <row r="27" spans="1:3" x14ac:dyDescent="0.35">
      <c r="A27" s="4">
        <v>44958</v>
      </c>
      <c r="B27">
        <v>1537.181186495917</v>
      </c>
      <c r="C27">
        <v>1435.097826997157</v>
      </c>
    </row>
    <row r="28" spans="1:3" x14ac:dyDescent="0.35">
      <c r="A28" s="4">
        <v>44986</v>
      </c>
      <c r="B28">
        <v>1655.7381373663941</v>
      </c>
      <c r="C28">
        <v>1646.2143765167591</v>
      </c>
    </row>
    <row r="29" spans="1:3" x14ac:dyDescent="0.35">
      <c r="A29" s="4">
        <v>45017</v>
      </c>
      <c r="B29">
        <v>1639.051607669958</v>
      </c>
      <c r="C29">
        <v>1654.6167915156841</v>
      </c>
    </row>
    <row r="30" spans="1:3" x14ac:dyDescent="0.35">
      <c r="A30" s="4">
        <v>45047</v>
      </c>
      <c r="B30">
        <v>1810.1875174802019</v>
      </c>
      <c r="C30">
        <v>2035.760264524554</v>
      </c>
    </row>
    <row r="31" spans="1:3" x14ac:dyDescent="0.35">
      <c r="A31" s="4">
        <v>45078</v>
      </c>
      <c r="B31">
        <v>1937.2677364636411</v>
      </c>
      <c r="C31">
        <v>2180.1034708768061</v>
      </c>
    </row>
    <row r="32" spans="1:3" x14ac:dyDescent="0.35">
      <c r="A32" s="4">
        <v>45108</v>
      </c>
      <c r="B32">
        <v>1977.287650546823</v>
      </c>
      <c r="C32">
        <v>2283.3886347919902</v>
      </c>
    </row>
    <row r="33" spans="1:3" x14ac:dyDescent="0.35">
      <c r="A33" s="4">
        <v>45139</v>
      </c>
      <c r="B33">
        <v>1993.655098855374</v>
      </c>
      <c r="C33">
        <v>2323.2104102519402</v>
      </c>
    </row>
    <row r="34" spans="1:3" x14ac:dyDescent="0.35">
      <c r="A34" s="4">
        <v>45170</v>
      </c>
      <c r="B34">
        <v>1830.509121745353</v>
      </c>
      <c r="C34">
        <v>2136.4116328881828</v>
      </c>
    </row>
    <row r="35" spans="1:3" x14ac:dyDescent="0.35">
      <c r="A35" s="4">
        <v>45200</v>
      </c>
      <c r="B35">
        <v>1899.4463024124429</v>
      </c>
      <c r="C35">
        <v>2132.532555484956</v>
      </c>
    </row>
    <row r="36" spans="1:3" x14ac:dyDescent="0.35">
      <c r="A36" s="4">
        <v>45231</v>
      </c>
      <c r="B36">
        <v>2037.7998831956211</v>
      </c>
      <c r="C36">
        <v>2423.5059844444781</v>
      </c>
    </row>
    <row r="37" spans="1:3" x14ac:dyDescent="0.35">
      <c r="A37" s="4">
        <v>45261</v>
      </c>
      <c r="B37">
        <v>2132.4688067992861</v>
      </c>
      <c r="C37">
        <v>2584.1661539918659</v>
      </c>
    </row>
    <row r="38" spans="1:3" x14ac:dyDescent="0.35">
      <c r="A38" s="4">
        <v>45292</v>
      </c>
      <c r="B38">
        <v>2247.4719221141891</v>
      </c>
      <c r="C38">
        <v>2915.3266175665331</v>
      </c>
    </row>
    <row r="39" spans="1:3" x14ac:dyDescent="0.35">
      <c r="A39" s="4">
        <v>45323</v>
      </c>
      <c r="B39">
        <v>2455.1181944808191</v>
      </c>
      <c r="C39">
        <v>3348.2366666488688</v>
      </c>
    </row>
    <row r="40" spans="1:3" x14ac:dyDescent="0.35">
      <c r="A40" s="4">
        <v>45352</v>
      </c>
      <c r="B40">
        <v>2610.526664514437</v>
      </c>
      <c r="C40">
        <v>3574.3445923326708</v>
      </c>
    </row>
    <row r="41" spans="1:3" x14ac:dyDescent="0.35">
      <c r="A41" s="4">
        <v>45383</v>
      </c>
      <c r="B41">
        <v>2568.043272521415</v>
      </c>
      <c r="C41">
        <v>3403.7356541379122</v>
      </c>
    </row>
    <row r="42" spans="1:3" x14ac:dyDescent="0.35">
      <c r="A42" s="4">
        <v>45413</v>
      </c>
      <c r="B42">
        <v>2803.9587124773511</v>
      </c>
      <c r="C42">
        <v>3850.1744614491672</v>
      </c>
    </row>
    <row r="43" spans="1:3" x14ac:dyDescent="0.35">
      <c r="A43" s="4">
        <v>45444</v>
      </c>
      <c r="B43">
        <v>2926.9391637109961</v>
      </c>
      <c r="C43">
        <v>4239.2956692287389</v>
      </c>
    </row>
    <row r="44" spans="1:3" x14ac:dyDescent="0.35">
      <c r="A44" s="4">
        <v>45474</v>
      </c>
      <c r="B44">
        <v>3077.6050646933431</v>
      </c>
      <c r="C44">
        <v>4062.8935598199769</v>
      </c>
    </row>
    <row r="45" spans="1:3" x14ac:dyDescent="0.35">
      <c r="A45" s="4">
        <v>45505</v>
      </c>
      <c r="B45">
        <v>3177.2744225629581</v>
      </c>
      <c r="C45">
        <v>4157.7023792100017</v>
      </c>
    </row>
    <row r="46" spans="1:3" x14ac:dyDescent="0.35">
      <c r="A46" s="4">
        <v>45536</v>
      </c>
      <c r="B46">
        <v>3253.0775539451702</v>
      </c>
      <c r="C46">
        <v>4306.3202943494834</v>
      </c>
    </row>
    <row r="47" spans="1:3" x14ac:dyDescent="0.35">
      <c r="A47" s="4">
        <v>45566</v>
      </c>
      <c r="B47">
        <v>3222.292295839512</v>
      </c>
      <c r="C47">
        <v>4373.142837589834</v>
      </c>
    </row>
    <row r="48" spans="1:3" x14ac:dyDescent="0.35">
      <c r="A48" s="4">
        <v>45597</v>
      </c>
      <c r="B48">
        <v>3234.0750837815071</v>
      </c>
      <c r="C48">
        <v>4519.1825325231157</v>
      </c>
    </row>
    <row r="49" spans="1:3" x14ac:dyDescent="0.35">
      <c r="A49" s="4">
        <v>45627</v>
      </c>
      <c r="B49">
        <v>3114.7261741851271</v>
      </c>
      <c r="C49">
        <v>4634.5718333377827</v>
      </c>
    </row>
    <row r="50" spans="1:3" x14ac:dyDescent="0.35">
      <c r="A50" s="4">
        <v>45658</v>
      </c>
      <c r="B50">
        <v>3001.299066071314</v>
      </c>
      <c r="C50">
        <v>4445.6080469562376</v>
      </c>
    </row>
    <row r="51" spans="1:3" x14ac:dyDescent="0.35">
      <c r="A51" s="4">
        <v>45689</v>
      </c>
      <c r="B51">
        <v>3006.576022131811</v>
      </c>
      <c r="C51">
        <v>4342.4276402954001</v>
      </c>
    </row>
    <row r="52" spans="1:3" x14ac:dyDescent="0.35">
      <c r="A52" s="4">
        <v>45717</v>
      </c>
      <c r="B52">
        <v>2824.332325079276</v>
      </c>
      <c r="C52">
        <v>3920.3922769622168</v>
      </c>
    </row>
    <row r="53" spans="1:3" x14ac:dyDescent="0.35">
      <c r="A53" s="4">
        <v>45748</v>
      </c>
      <c r="B53">
        <v>2905.981096777803</v>
      </c>
      <c r="C53">
        <v>4081.281085913085</v>
      </c>
    </row>
    <row r="54" spans="1:3" x14ac:dyDescent="0.35">
      <c r="A54" s="4">
        <v>45778</v>
      </c>
      <c r="B54">
        <v>3237.285369356181</v>
      </c>
      <c r="C54">
        <v>4855.2563406837789</v>
      </c>
    </row>
    <row r="55" spans="1:3" x14ac:dyDescent="0.35">
      <c r="A55" s="4">
        <v>45809</v>
      </c>
      <c r="B55">
        <v>3424.664830660402</v>
      </c>
      <c r="C55">
        <v>5497.3492952022907</v>
      </c>
    </row>
    <row r="56" spans="1:3" x14ac:dyDescent="0.35">
      <c r="A56" s="4">
        <v>45839</v>
      </c>
      <c r="B56">
        <v>3503.264369888675</v>
      </c>
      <c r="C56">
        <v>5996.929680650358</v>
      </c>
    </row>
    <row r="57" spans="1:3" x14ac:dyDescent="0.35">
      <c r="A57" s="4">
        <v>45870</v>
      </c>
      <c r="B57">
        <v>3585.017922431884</v>
      </c>
      <c r="C57">
        <v>5832.0296893824834</v>
      </c>
    </row>
    <row r="58" spans="1:3" x14ac:dyDescent="0.35">
      <c r="A58" s="4">
        <v>45901</v>
      </c>
      <c r="B58">
        <v>3868.8845631759009</v>
      </c>
      <c r="C58">
        <v>6213.5309475126533</v>
      </c>
    </row>
    <row r="59" spans="1:3" x14ac:dyDescent="0.35">
      <c r="A59" s="4">
        <v>45931</v>
      </c>
      <c r="B59">
        <v>4073.8835436687809</v>
      </c>
      <c r="C59">
        <v>6783.3506350576154</v>
      </c>
    </row>
    <row r="60" spans="1:3" x14ac:dyDescent="0.35">
      <c r="A60" s="4">
        <v>45962</v>
      </c>
      <c r="B60">
        <v>3786.2809400680731</v>
      </c>
      <c r="C60">
        <v>6329.0599341459347</v>
      </c>
    </row>
    <row r="61" spans="1:3" x14ac:dyDescent="0.35">
      <c r="A61" s="4">
        <v>45992</v>
      </c>
      <c r="B61">
        <v>3921.2341244515242</v>
      </c>
      <c r="C61">
        <v>6312.3157352490316</v>
      </c>
    </row>
    <row r="62" spans="1:3" x14ac:dyDescent="0.35">
      <c r="A62" s="4">
        <v>46023</v>
      </c>
      <c r="B62">
        <v>4424.7869381437167</v>
      </c>
      <c r="C62">
        <v>6226.6694179815131</v>
      </c>
    </row>
    <row r="63" spans="1:3" x14ac:dyDescent="0.35">
      <c r="A63" s="4">
        <v>46054</v>
      </c>
      <c r="B63">
        <v>4391.3924991217054</v>
      </c>
      <c r="C63">
        <v>5878.0630142641976</v>
      </c>
    </row>
    <row r="64" spans="1:3" x14ac:dyDescent="0.35">
      <c r="A64" s="4">
        <v>46082</v>
      </c>
      <c r="B64">
        <v>4200.0541580308927</v>
      </c>
      <c r="C64">
        <v>5744.4992838153776</v>
      </c>
    </row>
    <row r="65" spans="1:3" x14ac:dyDescent="0.35">
      <c r="A65" s="4">
        <v>46113</v>
      </c>
      <c r="B65">
        <v>4426.4332082507908</v>
      </c>
      <c r="C65">
        <v>6779.4442179364778</v>
      </c>
    </row>
    <row r="66" spans="1:3" x14ac:dyDescent="0.35">
      <c r="A66" s="4">
        <v>46143</v>
      </c>
      <c r="B66">
        <v>4710.7946270899674</v>
      </c>
      <c r="C66">
        <v>7507.2869799801019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R16" sqref="R1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6"/>
  <sheetViews>
    <sheetView topLeftCell="A44" workbookViewId="0">
      <selection activeCell="Q55" sqref="Q55"/>
    </sheetView>
  </sheetViews>
  <sheetFormatPr defaultRowHeight="14.5" x14ac:dyDescent="0.35"/>
  <cols>
    <col min="1" max="1" width="10.54296875" bestFit="1" customWidth="1"/>
    <col min="2" max="2" width="13.26953125" bestFit="1" customWidth="1"/>
  </cols>
  <sheetData>
    <row r="1" spans="1:2" x14ac:dyDescent="0.35">
      <c r="A1" t="s">
        <v>28</v>
      </c>
      <c r="B1" t="s">
        <v>44</v>
      </c>
    </row>
    <row r="2" spans="1:2" x14ac:dyDescent="0.35">
      <c r="A2" s="9">
        <v>44225</v>
      </c>
      <c r="B2" s="6">
        <v>0</v>
      </c>
    </row>
    <row r="3" spans="1:2" x14ac:dyDescent="0.35">
      <c r="A3" s="9">
        <v>44253</v>
      </c>
      <c r="B3" s="6">
        <v>0</v>
      </c>
    </row>
    <row r="4" spans="1:2" x14ac:dyDescent="0.35">
      <c r="A4" s="9">
        <v>44286</v>
      </c>
      <c r="B4" s="6">
        <v>0</v>
      </c>
    </row>
    <row r="5" spans="1:2" x14ac:dyDescent="0.35">
      <c r="A5" s="9">
        <v>44316</v>
      </c>
      <c r="B5" s="6">
        <v>0</v>
      </c>
    </row>
    <row r="6" spans="1:2" x14ac:dyDescent="0.35">
      <c r="A6" s="9">
        <v>44344</v>
      </c>
      <c r="B6" s="6">
        <v>0</v>
      </c>
    </row>
    <row r="7" spans="1:2" x14ac:dyDescent="0.35">
      <c r="A7" s="9">
        <v>44377</v>
      </c>
      <c r="B7" s="6">
        <v>0</v>
      </c>
    </row>
    <row r="8" spans="1:2" x14ac:dyDescent="0.35">
      <c r="A8" s="9">
        <v>44407</v>
      </c>
      <c r="B8" s="6">
        <v>0</v>
      </c>
    </row>
    <row r="9" spans="1:2" x14ac:dyDescent="0.35">
      <c r="A9" s="9">
        <v>44439</v>
      </c>
      <c r="B9" s="6">
        <v>0</v>
      </c>
    </row>
    <row r="10" spans="1:2" x14ac:dyDescent="0.35">
      <c r="A10" s="9">
        <v>44469</v>
      </c>
      <c r="B10" s="6">
        <v>-6.1145567319632628</v>
      </c>
    </row>
    <row r="11" spans="1:2" x14ac:dyDescent="0.35">
      <c r="A11" s="9">
        <v>44498</v>
      </c>
      <c r="B11" s="6">
        <v>0</v>
      </c>
    </row>
    <row r="12" spans="1:2" x14ac:dyDescent="0.35">
      <c r="A12" s="9">
        <v>44530</v>
      </c>
      <c r="B12" s="6">
        <v>0</v>
      </c>
    </row>
    <row r="13" spans="1:2" x14ac:dyDescent="0.35">
      <c r="A13" s="9">
        <v>44561</v>
      </c>
      <c r="B13" s="6">
        <v>0</v>
      </c>
    </row>
    <row r="14" spans="1:2" x14ac:dyDescent="0.35">
      <c r="A14" s="9">
        <v>44592</v>
      </c>
      <c r="B14" s="6">
        <v>-4.9308093240803368</v>
      </c>
    </row>
    <row r="15" spans="1:2" x14ac:dyDescent="0.35">
      <c r="A15" s="9">
        <v>44620</v>
      </c>
      <c r="B15" s="6">
        <v>-0.1261412776150618</v>
      </c>
    </row>
    <row r="16" spans="1:2" x14ac:dyDescent="0.35">
      <c r="A16" s="9">
        <v>44651</v>
      </c>
      <c r="B16" s="6">
        <v>0</v>
      </c>
    </row>
    <row r="17" spans="1:2" x14ac:dyDescent="0.35">
      <c r="A17" s="9">
        <v>44680</v>
      </c>
      <c r="B17" s="6">
        <v>-11.863056261536149</v>
      </c>
    </row>
    <row r="18" spans="1:2" x14ac:dyDescent="0.35">
      <c r="A18" s="9">
        <v>44712</v>
      </c>
      <c r="B18" s="6">
        <v>-10.432088876147439</v>
      </c>
    </row>
    <row r="19" spans="1:2" x14ac:dyDescent="0.35">
      <c r="A19" s="9">
        <v>44742</v>
      </c>
      <c r="B19" s="6">
        <v>-19.637116780869292</v>
      </c>
    </row>
    <row r="20" spans="1:2" x14ac:dyDescent="0.35">
      <c r="A20" s="9">
        <v>44771</v>
      </c>
      <c r="B20" s="6">
        <v>-12.832219565251631</v>
      </c>
    </row>
    <row r="21" spans="1:2" x14ac:dyDescent="0.35">
      <c r="A21" s="9">
        <v>44804</v>
      </c>
      <c r="B21" s="6">
        <v>-18.995632907362442</v>
      </c>
    </row>
    <row r="22" spans="1:2" x14ac:dyDescent="0.35">
      <c r="A22" s="9">
        <v>44834</v>
      </c>
      <c r="B22" s="6">
        <v>-30.264622675667528</v>
      </c>
    </row>
    <row r="23" spans="1:2" x14ac:dyDescent="0.35">
      <c r="A23" s="9">
        <v>44865</v>
      </c>
      <c r="B23" s="6">
        <v>-17.823188010816711</v>
      </c>
    </row>
    <row r="24" spans="1:2" x14ac:dyDescent="0.35">
      <c r="A24" s="9">
        <v>44895</v>
      </c>
      <c r="B24" s="6">
        <v>-8.6566323011122712</v>
      </c>
    </row>
    <row r="25" spans="1:2" x14ac:dyDescent="0.35">
      <c r="A25" s="9">
        <v>44925</v>
      </c>
      <c r="B25" s="6">
        <v>-13.96632312922771</v>
      </c>
    </row>
    <row r="26" spans="1:2" x14ac:dyDescent="0.35">
      <c r="A26" s="9">
        <v>44957</v>
      </c>
      <c r="B26" s="6">
        <v>-4.4694520443573733</v>
      </c>
    </row>
    <row r="27" spans="1:2" x14ac:dyDescent="0.35">
      <c r="A27" s="9">
        <v>44985</v>
      </c>
      <c r="B27" s="6">
        <v>0</v>
      </c>
    </row>
    <row r="28" spans="1:2" x14ac:dyDescent="0.35">
      <c r="A28" s="9">
        <v>45016</v>
      </c>
      <c r="B28" s="6">
        <v>0</v>
      </c>
    </row>
    <row r="29" spans="1:2" x14ac:dyDescent="0.35">
      <c r="A29" s="9">
        <v>45044</v>
      </c>
      <c r="B29" s="6">
        <v>-1.0078000451796889</v>
      </c>
    </row>
    <row r="30" spans="1:2" x14ac:dyDescent="0.35">
      <c r="A30" s="9">
        <v>45077</v>
      </c>
      <c r="B30" s="6">
        <v>0</v>
      </c>
    </row>
    <row r="31" spans="1:2" x14ac:dyDescent="0.35">
      <c r="A31" s="9">
        <v>45107</v>
      </c>
      <c r="B31" s="6">
        <v>0</v>
      </c>
    </row>
    <row r="32" spans="1:2" x14ac:dyDescent="0.35">
      <c r="A32" s="9">
        <v>45138</v>
      </c>
      <c r="B32" s="6">
        <v>0</v>
      </c>
    </row>
    <row r="33" spans="1:2" x14ac:dyDescent="0.35">
      <c r="A33" s="9">
        <v>45169</v>
      </c>
      <c r="B33" s="6">
        <v>0</v>
      </c>
    </row>
    <row r="34" spans="1:2" x14ac:dyDescent="0.35">
      <c r="A34" s="9">
        <v>45198</v>
      </c>
      <c r="B34" s="6">
        <v>-8.1832598428729497</v>
      </c>
    </row>
    <row r="35" spans="1:2" x14ac:dyDescent="0.35">
      <c r="A35" s="9">
        <v>45230</v>
      </c>
      <c r="B35" s="6">
        <v>-4.7254310184855406</v>
      </c>
    </row>
    <row r="36" spans="1:2" x14ac:dyDescent="0.35">
      <c r="A36" s="9">
        <v>45260</v>
      </c>
      <c r="B36" s="6">
        <v>0</v>
      </c>
    </row>
    <row r="37" spans="1:2" x14ac:dyDescent="0.35">
      <c r="A37" s="9">
        <v>45289</v>
      </c>
      <c r="B37" s="6">
        <v>0</v>
      </c>
    </row>
    <row r="38" spans="1:2" x14ac:dyDescent="0.35">
      <c r="A38" s="9">
        <v>45322</v>
      </c>
      <c r="B38" s="6">
        <v>0</v>
      </c>
    </row>
    <row r="39" spans="1:2" x14ac:dyDescent="0.35">
      <c r="A39" s="9">
        <v>45351</v>
      </c>
      <c r="B39" s="6">
        <v>0</v>
      </c>
    </row>
    <row r="40" spans="1:2" x14ac:dyDescent="0.35">
      <c r="A40" s="9">
        <v>45379</v>
      </c>
      <c r="B40" s="6">
        <v>0</v>
      </c>
    </row>
    <row r="41" spans="1:2" x14ac:dyDescent="0.35">
      <c r="A41" s="9">
        <v>45412</v>
      </c>
      <c r="B41" s="6">
        <v>-1.627387782339452</v>
      </c>
    </row>
    <row r="42" spans="1:2" x14ac:dyDescent="0.35">
      <c r="A42" s="9">
        <v>45443</v>
      </c>
      <c r="B42" s="6">
        <v>0</v>
      </c>
    </row>
    <row r="43" spans="1:2" x14ac:dyDescent="0.35">
      <c r="A43" s="9">
        <v>45471</v>
      </c>
      <c r="B43" s="6">
        <v>0</v>
      </c>
    </row>
    <row r="44" spans="1:2" x14ac:dyDescent="0.35">
      <c r="A44" s="9">
        <v>45504</v>
      </c>
      <c r="B44" s="6">
        <v>0</v>
      </c>
    </row>
    <row r="45" spans="1:2" x14ac:dyDescent="0.35">
      <c r="A45" s="9">
        <v>45534</v>
      </c>
      <c r="B45" s="6">
        <v>0</v>
      </c>
    </row>
    <row r="46" spans="1:2" x14ac:dyDescent="0.35">
      <c r="A46" s="9">
        <v>45565</v>
      </c>
      <c r="B46" s="6">
        <v>0</v>
      </c>
    </row>
    <row r="47" spans="1:2" x14ac:dyDescent="0.35">
      <c r="A47" s="9">
        <v>45596</v>
      </c>
      <c r="B47" s="6">
        <v>-0.94634258160623563</v>
      </c>
    </row>
    <row r="48" spans="1:2" x14ac:dyDescent="0.35">
      <c r="A48" s="9">
        <v>45625</v>
      </c>
      <c r="B48" s="6">
        <v>-0.58413824597012054</v>
      </c>
    </row>
    <row r="49" spans="1:2" x14ac:dyDescent="0.35">
      <c r="A49" s="9">
        <v>45657</v>
      </c>
      <c r="B49" s="6">
        <v>-4.2529382551073036</v>
      </c>
    </row>
    <row r="50" spans="1:2" x14ac:dyDescent="0.35">
      <c r="A50" s="9">
        <v>45688</v>
      </c>
      <c r="B50" s="6">
        <v>-7.7397013658193101</v>
      </c>
    </row>
    <row r="51" spans="1:2" x14ac:dyDescent="0.35">
      <c r="A51" s="9">
        <v>45716</v>
      </c>
      <c r="B51" s="6">
        <v>-7.5774870941645656</v>
      </c>
    </row>
    <row r="52" spans="1:2" x14ac:dyDescent="0.35">
      <c r="A52" s="9">
        <v>45747</v>
      </c>
      <c r="B52" s="6">
        <v>-13.179680525781899</v>
      </c>
    </row>
    <row r="53" spans="1:2" x14ac:dyDescent="0.35">
      <c r="A53" s="9">
        <v>45777</v>
      </c>
      <c r="B53" s="6">
        <v>-10.669787344799889</v>
      </c>
    </row>
    <row r="54" spans="1:2" x14ac:dyDescent="0.35">
      <c r="A54" s="9">
        <v>45807</v>
      </c>
      <c r="B54" s="6">
        <v>-0.48545367662191619</v>
      </c>
    </row>
    <row r="55" spans="1:2" x14ac:dyDescent="0.35">
      <c r="A55" s="9">
        <v>45838</v>
      </c>
      <c r="B55" s="6">
        <v>0</v>
      </c>
    </row>
    <row r="56" spans="1:2" x14ac:dyDescent="0.35">
      <c r="A56" s="9">
        <v>45869</v>
      </c>
      <c r="B56" s="6">
        <v>0</v>
      </c>
    </row>
    <row r="57" spans="1:2" x14ac:dyDescent="0.35">
      <c r="A57" s="9">
        <v>45898</v>
      </c>
      <c r="B57" s="6">
        <v>0</v>
      </c>
    </row>
    <row r="58" spans="1:2" x14ac:dyDescent="0.35">
      <c r="A58" s="9">
        <v>45930</v>
      </c>
      <c r="B58" s="6">
        <v>0</v>
      </c>
    </row>
    <row r="59" spans="1:2" x14ac:dyDescent="0.35">
      <c r="A59" s="9">
        <v>45961</v>
      </c>
      <c r="B59" s="6">
        <v>0</v>
      </c>
    </row>
    <row r="60" spans="1:2" x14ac:dyDescent="0.35">
      <c r="A60" s="9">
        <v>45989</v>
      </c>
      <c r="B60" s="6">
        <v>-7.0596667901239174</v>
      </c>
    </row>
    <row r="61" spans="1:2" x14ac:dyDescent="0.35">
      <c r="A61" s="9">
        <v>46022</v>
      </c>
      <c r="B61" s="6">
        <v>-3.7470246162163749</v>
      </c>
    </row>
    <row r="62" spans="1:2" x14ac:dyDescent="0.35">
      <c r="A62" s="9">
        <v>46052</v>
      </c>
      <c r="B62" s="6">
        <v>0</v>
      </c>
    </row>
    <row r="63" spans="1:2" x14ac:dyDescent="0.35">
      <c r="A63" s="9">
        <v>46080</v>
      </c>
      <c r="B63" s="6">
        <v>-0.75471292717250904</v>
      </c>
    </row>
    <row r="64" spans="1:2" x14ac:dyDescent="0.35">
      <c r="A64" s="9">
        <v>46112</v>
      </c>
      <c r="B64" s="6">
        <v>-5.0789514445435362</v>
      </c>
    </row>
    <row r="65" spans="1:2" x14ac:dyDescent="0.35">
      <c r="A65" s="9">
        <v>46142</v>
      </c>
      <c r="B65" s="6">
        <v>0</v>
      </c>
    </row>
    <row r="66" spans="1:2" x14ac:dyDescent="0.35">
      <c r="A66" s="9">
        <v>46171</v>
      </c>
      <c r="B66" s="6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5"/>
  <sheetViews>
    <sheetView workbookViewId="0">
      <selection activeCell="C5" sqref="C5"/>
    </sheetView>
  </sheetViews>
  <sheetFormatPr defaultRowHeight="14.5" x14ac:dyDescent="0.35"/>
  <cols>
    <col min="1" max="1" width="17.81640625" bestFit="1" customWidth="1"/>
    <col min="2" max="2" width="30.26953125" bestFit="1" customWidth="1"/>
    <col min="3" max="3" width="27.453125" bestFit="1" customWidth="1"/>
  </cols>
  <sheetData>
    <row r="1" spans="1:3" x14ac:dyDescent="0.35">
      <c r="A1" t="s">
        <v>28</v>
      </c>
      <c r="B1" t="s">
        <v>45</v>
      </c>
      <c r="C1" t="s">
        <v>46</v>
      </c>
    </row>
    <row r="2" spans="1:3" x14ac:dyDescent="0.35">
      <c r="A2" s="4">
        <v>44531</v>
      </c>
      <c r="B2">
        <v>-20.17428049747798</v>
      </c>
      <c r="C2">
        <v>-20.960319007715931</v>
      </c>
    </row>
    <row r="3" spans="1:3" x14ac:dyDescent="0.35">
      <c r="A3" s="4">
        <v>44562</v>
      </c>
      <c r="B3">
        <v>-13.300032100667391</v>
      </c>
      <c r="C3">
        <v>-20.960319007715931</v>
      </c>
    </row>
    <row r="4" spans="1:3" x14ac:dyDescent="0.35">
      <c r="A4" s="4">
        <v>44593</v>
      </c>
      <c r="B4">
        <v>-8.6565878457526999</v>
      </c>
      <c r="C4">
        <v>-20.960319007715931</v>
      </c>
    </row>
    <row r="5" spans="1:3" x14ac:dyDescent="0.35">
      <c r="A5" s="4">
        <v>44621</v>
      </c>
      <c r="B5">
        <v>-10.08249799873651</v>
      </c>
      <c r="C5">
        <v>-20.321382214352511</v>
      </c>
    </row>
    <row r="6" spans="1:3" x14ac:dyDescent="0.35">
      <c r="A6" s="4">
        <v>44652</v>
      </c>
      <c r="B6">
        <v>-0.14225386022212819</v>
      </c>
      <c r="C6">
        <v>-19.404350699781119</v>
      </c>
    </row>
    <row r="7" spans="1:3" x14ac:dyDescent="0.35">
      <c r="A7" s="4">
        <v>44682</v>
      </c>
      <c r="B7">
        <v>0</v>
      </c>
      <c r="C7">
        <v>-14.848520683375551</v>
      </c>
    </row>
    <row r="8" spans="1:3" x14ac:dyDescent="0.35">
      <c r="A8" s="4">
        <v>44713</v>
      </c>
      <c r="B8">
        <v>0</v>
      </c>
      <c r="C8">
        <v>-14.108303047627169</v>
      </c>
    </row>
    <row r="9" spans="1:3" x14ac:dyDescent="0.35">
      <c r="A9" s="4">
        <v>44743</v>
      </c>
      <c r="B9">
        <v>-5.2165369407840876</v>
      </c>
      <c r="C9">
        <v>-11.010174479350381</v>
      </c>
    </row>
    <row r="10" spans="1:3" x14ac:dyDescent="0.35">
      <c r="A10" s="4">
        <v>44774</v>
      </c>
      <c r="B10">
        <v>-1.945247139903018</v>
      </c>
      <c r="C10">
        <v>-11.010174479350381</v>
      </c>
    </row>
    <row r="11" spans="1:3" x14ac:dyDescent="0.35">
      <c r="A11" s="4">
        <v>44805</v>
      </c>
      <c r="B11">
        <v>-0.91538209416183058</v>
      </c>
      <c r="C11">
        <v>-5.2165369407840876</v>
      </c>
    </row>
    <row r="12" spans="1:3" x14ac:dyDescent="0.35">
      <c r="A12" s="4">
        <v>44835</v>
      </c>
      <c r="B12">
        <v>0</v>
      </c>
      <c r="C12">
        <v>-5.2165369407840876</v>
      </c>
    </row>
    <row r="13" spans="1:3" x14ac:dyDescent="0.35">
      <c r="A13" s="4">
        <v>44866</v>
      </c>
      <c r="B13">
        <v>-4.7308281491530284</v>
      </c>
      <c r="C13">
        <v>-5.2165369407840876</v>
      </c>
    </row>
    <row r="14" spans="1:3" x14ac:dyDescent="0.35">
      <c r="A14" s="4">
        <v>44896</v>
      </c>
      <c r="B14">
        <v>-1.9481450490190999</v>
      </c>
      <c r="C14">
        <v>-5.2165369407840876</v>
      </c>
    </row>
    <row r="15" spans="1:3" x14ac:dyDescent="0.35">
      <c r="A15" s="4">
        <v>44927</v>
      </c>
      <c r="B15">
        <v>-5.9658820775068344</v>
      </c>
      <c r="C15">
        <v>-5.9658820775068344</v>
      </c>
    </row>
    <row r="16" spans="1:3" x14ac:dyDescent="0.35">
      <c r="A16" s="4">
        <v>44958</v>
      </c>
      <c r="B16">
        <v>-4.4152229460059456</v>
      </c>
      <c r="C16">
        <v>-5.9658820775068344</v>
      </c>
    </row>
    <row r="17" spans="1:3" x14ac:dyDescent="0.35">
      <c r="A17" s="4">
        <v>44986</v>
      </c>
      <c r="B17">
        <v>-10.246697000818219</v>
      </c>
      <c r="C17">
        <v>-10.246697000818219</v>
      </c>
    </row>
    <row r="18" spans="1:3" x14ac:dyDescent="0.35">
      <c r="A18" s="4">
        <v>45017</v>
      </c>
      <c r="B18">
        <v>-11.60241942719202</v>
      </c>
      <c r="C18">
        <v>-11.60241942719202</v>
      </c>
    </row>
    <row r="19" spans="1:3" x14ac:dyDescent="0.35">
      <c r="A19" s="4">
        <v>45047</v>
      </c>
      <c r="B19">
        <v>-20.65088077989402</v>
      </c>
      <c r="C19">
        <v>-20.65088077989402</v>
      </c>
    </row>
    <row r="20" spans="1:3" x14ac:dyDescent="0.35">
      <c r="A20" s="4">
        <v>45078</v>
      </c>
      <c r="B20">
        <v>-20.702824709490852</v>
      </c>
      <c r="C20">
        <v>-20.702824709490852</v>
      </c>
    </row>
    <row r="21" spans="1:3" x14ac:dyDescent="0.35">
      <c r="A21" s="4">
        <v>45108</v>
      </c>
      <c r="B21">
        <v>-22.725679175077989</v>
      </c>
      <c r="C21">
        <v>-22.725679175077989</v>
      </c>
    </row>
    <row r="22" spans="1:3" x14ac:dyDescent="0.35">
      <c r="A22" s="4">
        <v>45139</v>
      </c>
      <c r="B22">
        <v>-23.421534330330569</v>
      </c>
      <c r="C22">
        <v>-23.421534330330569</v>
      </c>
    </row>
    <row r="23" spans="1:3" x14ac:dyDescent="0.35">
      <c r="A23" s="4">
        <v>45170</v>
      </c>
      <c r="B23">
        <v>-23.54037895998232</v>
      </c>
      <c r="C23">
        <v>-23.54037895998232</v>
      </c>
    </row>
    <row r="24" spans="1:3" x14ac:dyDescent="0.35">
      <c r="A24" s="4">
        <v>45200</v>
      </c>
      <c r="B24">
        <v>-18.937365430811521</v>
      </c>
      <c r="C24">
        <v>-22.02123959996252</v>
      </c>
    </row>
    <row r="25" spans="1:3" x14ac:dyDescent="0.35">
      <c r="A25" s="4">
        <v>45231</v>
      </c>
      <c r="B25">
        <v>-23.47438997042407</v>
      </c>
      <c r="C25">
        <v>-23.47438997042407</v>
      </c>
    </row>
    <row r="26" spans="1:3" x14ac:dyDescent="0.35">
      <c r="A26" s="4">
        <v>45261</v>
      </c>
      <c r="B26">
        <v>-22.959569768464259</v>
      </c>
      <c r="C26">
        <v>-22.959569768464259</v>
      </c>
    </row>
    <row r="27" spans="1:3" x14ac:dyDescent="0.35">
      <c r="A27" s="4">
        <v>45292</v>
      </c>
      <c r="B27">
        <v>-28.028011276932691</v>
      </c>
      <c r="C27">
        <v>-28.028011276932691</v>
      </c>
    </row>
    <row r="28" spans="1:3" x14ac:dyDescent="0.35">
      <c r="A28" s="4">
        <v>45323</v>
      </c>
      <c r="B28">
        <v>-27.0960608745984</v>
      </c>
      <c r="C28">
        <v>-27.0960608745984</v>
      </c>
    </row>
    <row r="29" spans="1:3" x14ac:dyDescent="0.35">
      <c r="A29" s="4">
        <v>45352</v>
      </c>
      <c r="B29">
        <v>-26.27131067465179</v>
      </c>
      <c r="C29">
        <v>-26.27131067465179</v>
      </c>
    </row>
    <row r="30" spans="1:3" x14ac:dyDescent="0.35">
      <c r="A30" s="4">
        <v>45383</v>
      </c>
      <c r="B30">
        <v>-15.293807093405819</v>
      </c>
      <c r="C30">
        <v>-18.00254679473257</v>
      </c>
    </row>
    <row r="31" spans="1:3" x14ac:dyDescent="0.35">
      <c r="A31" s="4">
        <v>45413</v>
      </c>
      <c r="B31">
        <v>-18.23642824878036</v>
      </c>
      <c r="C31">
        <v>-18.23642824878036</v>
      </c>
    </row>
    <row r="32" spans="1:3" x14ac:dyDescent="0.35">
      <c r="A32" s="4">
        <v>45444</v>
      </c>
      <c r="B32">
        <v>-22.484484838065079</v>
      </c>
      <c r="C32">
        <v>-22.484484838065079</v>
      </c>
    </row>
    <row r="33" spans="1:3" x14ac:dyDescent="0.35">
      <c r="A33" s="4">
        <v>45474</v>
      </c>
      <c r="B33">
        <v>-14.955527327663081</v>
      </c>
      <c r="C33">
        <v>-22.484484838065079</v>
      </c>
    </row>
    <row r="34" spans="1:3" x14ac:dyDescent="0.35">
      <c r="A34" s="4">
        <v>45505</v>
      </c>
      <c r="B34">
        <v>-14.203419693639979</v>
      </c>
      <c r="C34">
        <v>-22.484484838065079</v>
      </c>
    </row>
    <row r="35" spans="1:3" x14ac:dyDescent="0.35">
      <c r="A35" s="4">
        <v>45536</v>
      </c>
      <c r="B35">
        <v>-15.18811068190052</v>
      </c>
      <c r="C35">
        <v>-22.484484838065079</v>
      </c>
    </row>
    <row r="36" spans="1:3" x14ac:dyDescent="0.35">
      <c r="A36" s="4">
        <v>45566</v>
      </c>
      <c r="B36">
        <v>-12.369793780232269</v>
      </c>
      <c r="C36">
        <v>-17.888771137063731</v>
      </c>
    </row>
    <row r="37" spans="1:3" x14ac:dyDescent="0.35">
      <c r="A37" s="4">
        <v>45597</v>
      </c>
      <c r="B37">
        <v>-13.278264150402361</v>
      </c>
      <c r="C37">
        <v>-16.33231836810608</v>
      </c>
    </row>
    <row r="38" spans="1:3" x14ac:dyDescent="0.35">
      <c r="A38" s="4">
        <v>45627</v>
      </c>
      <c r="B38">
        <v>-12.822743471332521</v>
      </c>
      <c r="C38">
        <v>-12.822743471332521</v>
      </c>
    </row>
    <row r="39" spans="1:3" x14ac:dyDescent="0.35">
      <c r="A39" s="4">
        <v>45658</v>
      </c>
      <c r="B39">
        <v>-11.65605789312225</v>
      </c>
      <c r="C39">
        <v>-12.055451036628799</v>
      </c>
    </row>
    <row r="40" spans="1:3" x14ac:dyDescent="0.35">
      <c r="A40" s="4">
        <v>45689</v>
      </c>
      <c r="B40">
        <v>-9.397898622343055</v>
      </c>
      <c r="C40">
        <v>-12.055451036628799</v>
      </c>
    </row>
    <row r="41" spans="1:3" x14ac:dyDescent="0.35">
      <c r="A41" s="4">
        <v>45717</v>
      </c>
      <c r="B41">
        <v>-5.7275176266779084</v>
      </c>
      <c r="C41">
        <v>-12.055451036628799</v>
      </c>
    </row>
    <row r="42" spans="1:3" x14ac:dyDescent="0.35">
      <c r="A42" s="4">
        <v>45748</v>
      </c>
      <c r="B42">
        <v>-6.8259550730845264</v>
      </c>
      <c r="C42">
        <v>-12.055451036628799</v>
      </c>
    </row>
    <row r="43" spans="1:3" x14ac:dyDescent="0.35">
      <c r="A43" s="4">
        <v>45778</v>
      </c>
      <c r="B43">
        <v>-12.749586919043731</v>
      </c>
      <c r="C43">
        <v>-12.749586919043731</v>
      </c>
    </row>
    <row r="44" spans="1:3" x14ac:dyDescent="0.35">
      <c r="A44" s="4">
        <v>45809</v>
      </c>
      <c r="B44">
        <v>-18.48014232129724</v>
      </c>
      <c r="C44">
        <v>-18.48014232129724</v>
      </c>
    </row>
    <row r="45" spans="1:3" x14ac:dyDescent="0.35">
      <c r="A45" s="4">
        <v>45839</v>
      </c>
      <c r="B45">
        <v>-23.55613672112052</v>
      </c>
      <c r="C45">
        <v>-23.55613672112052</v>
      </c>
    </row>
    <row r="46" spans="1:3" x14ac:dyDescent="0.35">
      <c r="A46" s="4">
        <v>45870</v>
      </c>
      <c r="B46">
        <v>-18.626402501711141</v>
      </c>
      <c r="C46">
        <v>-22.668600977208381</v>
      </c>
    </row>
    <row r="47" spans="1:3" x14ac:dyDescent="0.35">
      <c r="A47" s="4">
        <v>45901</v>
      </c>
      <c r="B47">
        <v>-15.496239528268241</v>
      </c>
      <c r="C47">
        <v>-20.718349011746369</v>
      </c>
    </row>
    <row r="48" spans="1:3" x14ac:dyDescent="0.35">
      <c r="A48" s="4">
        <v>45931</v>
      </c>
      <c r="B48">
        <v>-16.6360908100831</v>
      </c>
      <c r="C48">
        <v>-18.911795516151471</v>
      </c>
    </row>
    <row r="49" spans="1:3" x14ac:dyDescent="0.35">
      <c r="A49" s="4">
        <v>45962</v>
      </c>
      <c r="B49">
        <v>-16.95999717964299</v>
      </c>
      <c r="C49">
        <v>-18.911795516151471</v>
      </c>
    </row>
    <row r="50" spans="1:3" x14ac:dyDescent="0.35">
      <c r="A50" s="4">
        <v>45992</v>
      </c>
      <c r="B50">
        <v>-13.77210423516593</v>
      </c>
      <c r="C50">
        <v>-18.911795516151471</v>
      </c>
    </row>
    <row r="51" spans="1:3" x14ac:dyDescent="0.35">
      <c r="A51" s="4">
        <v>46023</v>
      </c>
      <c r="B51">
        <v>-1.3606316138084169</v>
      </c>
      <c r="C51">
        <v>-18.911795516151471</v>
      </c>
    </row>
    <row r="52" spans="1:3" x14ac:dyDescent="0.35">
      <c r="A52" s="4">
        <v>46054</v>
      </c>
      <c r="B52">
        <v>0</v>
      </c>
      <c r="C52">
        <v>-18.911795516151471</v>
      </c>
    </row>
    <row r="53" spans="1:3" x14ac:dyDescent="0.35">
      <c r="A53" s="4">
        <v>46082</v>
      </c>
      <c r="B53">
        <v>-2.133356744768792</v>
      </c>
      <c r="C53">
        <v>-17.955839162246239</v>
      </c>
    </row>
    <row r="54" spans="1:3" x14ac:dyDescent="0.35">
      <c r="A54" s="4">
        <v>46113</v>
      </c>
      <c r="B54">
        <v>-12.60394978693118</v>
      </c>
      <c r="C54">
        <v>-12.60394978693118</v>
      </c>
    </row>
    <row r="55" spans="1:3" x14ac:dyDescent="0.35">
      <c r="A55" s="4">
        <v>46143</v>
      </c>
      <c r="B55">
        <v>-16.006991958925099</v>
      </c>
      <c r="C55">
        <v>-16.006991958925099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>
      <selection activeCell="D6" sqref="D6"/>
    </sheetView>
  </sheetViews>
  <sheetFormatPr defaultRowHeight="14.5" x14ac:dyDescent="0.35"/>
  <cols>
    <col min="1" max="1" width="25" bestFit="1" customWidth="1"/>
    <col min="2" max="2" width="17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47</v>
      </c>
      <c r="B2" s="4">
        <v>44651</v>
      </c>
    </row>
    <row r="3" spans="1:2" x14ac:dyDescent="0.35">
      <c r="A3" t="s">
        <v>48</v>
      </c>
      <c r="B3" s="4">
        <v>44834</v>
      </c>
    </row>
    <row r="4" spans="1:2" x14ac:dyDescent="0.35">
      <c r="A4" t="s">
        <v>49</v>
      </c>
      <c r="B4">
        <v>-0.3026462267566753</v>
      </c>
    </row>
    <row r="5" spans="1:2" x14ac:dyDescent="0.35">
      <c r="A5" t="s">
        <v>50</v>
      </c>
      <c r="B5" s="4">
        <v>46142</v>
      </c>
    </row>
    <row r="6" spans="1:2" x14ac:dyDescent="0.35">
      <c r="A6" t="s">
        <v>51</v>
      </c>
      <c r="B6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workbookViewId="0"/>
  </sheetViews>
  <sheetFormatPr defaultRowHeight="14.5" x14ac:dyDescent="0.35"/>
  <cols>
    <col min="1" max="1" width="21.54296875" bestFit="1" customWidth="1"/>
    <col min="2" max="2" width="17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52</v>
      </c>
      <c r="B2" s="4">
        <v>44834</v>
      </c>
    </row>
    <row r="3" spans="1:2" x14ac:dyDescent="0.35">
      <c r="A3" t="s">
        <v>53</v>
      </c>
      <c r="B3">
        <v>-13.911583008133039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workbookViewId="0">
      <selection activeCell="G11" sqref="G11"/>
    </sheetView>
  </sheetViews>
  <sheetFormatPr defaultRowHeight="14.5" x14ac:dyDescent="0.35"/>
  <cols>
    <col min="1" max="3" width="17.81640625" bestFit="1" customWidth="1"/>
    <col min="4" max="4" width="13.26953125" bestFit="1" customWidth="1"/>
  </cols>
  <sheetData>
    <row r="1" spans="1:4" x14ac:dyDescent="0.35">
      <c r="A1" t="s">
        <v>54</v>
      </c>
      <c r="B1" t="s">
        <v>55</v>
      </c>
      <c r="C1" t="s">
        <v>50</v>
      </c>
      <c r="D1" t="s">
        <v>44</v>
      </c>
    </row>
    <row r="2" spans="1:4" x14ac:dyDescent="0.35">
      <c r="A2" s="4">
        <v>44651</v>
      </c>
      <c r="B2" s="4">
        <v>44834</v>
      </c>
      <c r="C2" s="4">
        <v>44985</v>
      </c>
      <c r="D2">
        <v>-30.264622675667528</v>
      </c>
    </row>
    <row r="3" spans="1:4" x14ac:dyDescent="0.35">
      <c r="A3" s="4">
        <v>45565</v>
      </c>
      <c r="B3" s="4">
        <v>45747</v>
      </c>
      <c r="C3" s="4">
        <v>45838</v>
      </c>
      <c r="D3">
        <v>-13.179680525781899</v>
      </c>
    </row>
    <row r="4" spans="1:4" x14ac:dyDescent="0.35">
      <c r="A4" s="4">
        <v>45169</v>
      </c>
      <c r="B4" s="4">
        <v>45198</v>
      </c>
      <c r="C4" s="4">
        <v>45260</v>
      </c>
      <c r="D4">
        <v>-8.1832598428729497</v>
      </c>
    </row>
    <row r="5" spans="1:4" x14ac:dyDescent="0.35">
      <c r="A5" s="4">
        <v>45961</v>
      </c>
      <c r="B5" s="4">
        <v>45989</v>
      </c>
      <c r="C5" s="4">
        <v>46052</v>
      </c>
      <c r="D5">
        <v>-7.0596667901239174</v>
      </c>
    </row>
    <row r="6" spans="1:4" x14ac:dyDescent="0.35">
      <c r="A6" s="4">
        <v>44439</v>
      </c>
      <c r="B6" s="4">
        <v>44469</v>
      </c>
      <c r="C6" s="4">
        <v>44498</v>
      </c>
      <c r="D6">
        <v>-6.1145567319632628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workbookViewId="0">
      <selection activeCell="E12" sqref="E12"/>
    </sheetView>
  </sheetViews>
  <sheetFormatPr defaultRowHeight="14.5" x14ac:dyDescent="0.35"/>
  <cols>
    <col min="1" max="1" width="33.36328125" bestFit="1" customWidth="1"/>
    <col min="2" max="2" width="17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56</v>
      </c>
      <c r="B2" s="4">
        <v>44680</v>
      </c>
    </row>
    <row r="3" spans="1:2" x14ac:dyDescent="0.35">
      <c r="A3" t="s">
        <v>57</v>
      </c>
      <c r="B3" s="4">
        <v>44957</v>
      </c>
    </row>
    <row r="4" spans="1:2" x14ac:dyDescent="0.35">
      <c r="A4" t="s">
        <v>58</v>
      </c>
      <c r="B4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1"/>
  <sheetViews>
    <sheetView workbookViewId="0"/>
  </sheetViews>
  <sheetFormatPr defaultRowHeight="14.5" x14ac:dyDescent="0.35"/>
  <sheetData>
    <row r="1" spans="1:4" x14ac:dyDescent="0.35">
      <c r="A1" t="s">
        <v>59</v>
      </c>
      <c r="B1" t="s">
        <v>60</v>
      </c>
      <c r="C1" t="s">
        <v>61</v>
      </c>
      <c r="D1" t="s">
        <v>62</v>
      </c>
    </row>
    <row r="2" spans="1:4" x14ac:dyDescent="0.35">
      <c r="A2">
        <v>-13.911583008133039</v>
      </c>
      <c r="B2">
        <v>-12.85316615588618</v>
      </c>
      <c r="C2">
        <v>1</v>
      </c>
      <c r="D2" t="s">
        <v>63</v>
      </c>
    </row>
    <row r="3" spans="1:4" x14ac:dyDescent="0.35">
      <c r="A3">
        <v>-12.85316615588618</v>
      </c>
      <c r="B3">
        <v>-11.794749303639319</v>
      </c>
      <c r="C3">
        <v>1</v>
      </c>
      <c r="D3" t="s">
        <v>64</v>
      </c>
    </row>
    <row r="4" spans="1:4" x14ac:dyDescent="0.35">
      <c r="A4">
        <v>-11.794749303639319</v>
      </c>
      <c r="B4">
        <v>-10.73633245139246</v>
      </c>
      <c r="C4">
        <v>0</v>
      </c>
      <c r="D4" t="s">
        <v>65</v>
      </c>
    </row>
    <row r="5" spans="1:4" x14ac:dyDescent="0.35">
      <c r="A5">
        <v>-10.73633245139246</v>
      </c>
      <c r="B5">
        <v>-9.6779155991456012</v>
      </c>
      <c r="C5">
        <v>1</v>
      </c>
      <c r="D5" t="s">
        <v>66</v>
      </c>
    </row>
    <row r="6" spans="1:4" x14ac:dyDescent="0.35">
      <c r="A6">
        <v>-9.6779155991456012</v>
      </c>
      <c r="B6">
        <v>-8.6194987468987421</v>
      </c>
      <c r="C6">
        <v>0</v>
      </c>
      <c r="D6" t="s">
        <v>67</v>
      </c>
    </row>
    <row r="7" spans="1:4" x14ac:dyDescent="0.35">
      <c r="A7">
        <v>-8.6194987468987421</v>
      </c>
      <c r="B7">
        <v>-7.5610818946518812</v>
      </c>
      <c r="C7">
        <v>1</v>
      </c>
      <c r="D7" t="s">
        <v>68</v>
      </c>
    </row>
    <row r="8" spans="1:4" x14ac:dyDescent="0.35">
      <c r="A8">
        <v>-7.5610818946518812</v>
      </c>
      <c r="B8">
        <v>-6.5026650424050212</v>
      </c>
      <c r="C8">
        <v>2</v>
      </c>
      <c r="D8" t="s">
        <v>69</v>
      </c>
    </row>
    <row r="9" spans="1:4" x14ac:dyDescent="0.35">
      <c r="A9">
        <v>-6.5026650424050212</v>
      </c>
      <c r="B9">
        <v>-5.4442481901581612</v>
      </c>
      <c r="C9">
        <v>3</v>
      </c>
      <c r="D9" t="s">
        <v>70</v>
      </c>
    </row>
    <row r="10" spans="1:4" x14ac:dyDescent="0.35">
      <c r="A10">
        <v>-5.4442481901581612</v>
      </c>
      <c r="B10">
        <v>-4.3858313379113003</v>
      </c>
      <c r="C10">
        <v>1</v>
      </c>
      <c r="D10" t="s">
        <v>71</v>
      </c>
    </row>
    <row r="11" spans="1:4" x14ac:dyDescent="0.35">
      <c r="A11">
        <v>-4.3858313379113003</v>
      </c>
      <c r="B11">
        <v>-3.3274144856644412</v>
      </c>
      <c r="C11">
        <v>3</v>
      </c>
      <c r="D11" t="s">
        <v>72</v>
      </c>
    </row>
    <row r="12" spans="1:4" x14ac:dyDescent="0.35">
      <c r="A12">
        <v>-3.3274144856644412</v>
      </c>
      <c r="B12">
        <v>-2.2689976334175821</v>
      </c>
      <c r="C12">
        <v>1</v>
      </c>
      <c r="D12" t="s">
        <v>73</v>
      </c>
    </row>
    <row r="13" spans="1:4" x14ac:dyDescent="0.35">
      <c r="A13">
        <v>-2.2689976334175821</v>
      </c>
      <c r="B13">
        <v>-1.210580781170721</v>
      </c>
      <c r="C13">
        <v>1</v>
      </c>
      <c r="D13" t="s">
        <v>74</v>
      </c>
    </row>
    <row r="14" spans="1:4" x14ac:dyDescent="0.35">
      <c r="A14">
        <v>-1.210580781170721</v>
      </c>
      <c r="B14">
        <v>-0.1521639289238603</v>
      </c>
      <c r="C14">
        <v>3</v>
      </c>
      <c r="D14" t="s">
        <v>75</v>
      </c>
    </row>
    <row r="15" spans="1:4" x14ac:dyDescent="0.35">
      <c r="A15">
        <v>-0.1521639289238603</v>
      </c>
      <c r="B15">
        <v>0.90625292332299878</v>
      </c>
      <c r="C15">
        <v>4</v>
      </c>
      <c r="D15" t="s">
        <v>76</v>
      </c>
    </row>
    <row r="16" spans="1:4" x14ac:dyDescent="0.35">
      <c r="A16">
        <v>0.90625292332299878</v>
      </c>
      <c r="B16">
        <v>1.9646697755698579</v>
      </c>
      <c r="C16">
        <v>2</v>
      </c>
      <c r="D16" t="s">
        <v>77</v>
      </c>
    </row>
    <row r="17" spans="1:4" x14ac:dyDescent="0.35">
      <c r="A17">
        <v>1.9646697755698579</v>
      </c>
      <c r="B17">
        <v>3.0230866278167192</v>
      </c>
      <c r="C17">
        <v>7</v>
      </c>
      <c r="D17" t="s">
        <v>78</v>
      </c>
    </row>
    <row r="18" spans="1:4" x14ac:dyDescent="0.35">
      <c r="A18">
        <v>3.0230866278167192</v>
      </c>
      <c r="B18">
        <v>4.0815034800635797</v>
      </c>
      <c r="C18">
        <v>5</v>
      </c>
      <c r="D18" t="s">
        <v>79</v>
      </c>
    </row>
    <row r="19" spans="1:4" x14ac:dyDescent="0.35">
      <c r="A19">
        <v>4.0815034800635797</v>
      </c>
      <c r="B19">
        <v>5.1399203323104414</v>
      </c>
      <c r="C19">
        <v>4</v>
      </c>
      <c r="D19" t="s">
        <v>80</v>
      </c>
    </row>
    <row r="20" spans="1:4" x14ac:dyDescent="0.35">
      <c r="A20">
        <v>5.1399203323104414</v>
      </c>
      <c r="B20">
        <v>6.1983371845572979</v>
      </c>
      <c r="C20">
        <v>5</v>
      </c>
      <c r="D20" t="s">
        <v>81</v>
      </c>
    </row>
    <row r="21" spans="1:4" x14ac:dyDescent="0.35">
      <c r="A21">
        <v>6.1983371845572979</v>
      </c>
      <c r="B21">
        <v>7.2567540368041588</v>
      </c>
      <c r="C21">
        <v>5</v>
      </c>
      <c r="D21" t="s">
        <v>82</v>
      </c>
    </row>
    <row r="22" spans="1:4" x14ac:dyDescent="0.35">
      <c r="A22">
        <v>7.2567540368041588</v>
      </c>
      <c r="B22">
        <v>8.3151708890510196</v>
      </c>
      <c r="C22">
        <v>5</v>
      </c>
      <c r="D22" t="s">
        <v>83</v>
      </c>
    </row>
    <row r="23" spans="1:4" x14ac:dyDescent="0.35">
      <c r="A23">
        <v>8.3151708890510196</v>
      </c>
      <c r="B23">
        <v>9.373587741297877</v>
      </c>
      <c r="C23">
        <v>3</v>
      </c>
      <c r="D23" t="s">
        <v>84</v>
      </c>
    </row>
    <row r="24" spans="1:4" x14ac:dyDescent="0.35">
      <c r="A24">
        <v>9.373587741297877</v>
      </c>
      <c r="B24">
        <v>10.43200459354474</v>
      </c>
      <c r="C24">
        <v>1</v>
      </c>
      <c r="D24" t="s">
        <v>85</v>
      </c>
    </row>
    <row r="25" spans="1:4" x14ac:dyDescent="0.35">
      <c r="A25">
        <v>10.43200459354474</v>
      </c>
      <c r="B25">
        <v>11.490421445791601</v>
      </c>
      <c r="C25">
        <v>4</v>
      </c>
      <c r="D25" t="s">
        <v>86</v>
      </c>
    </row>
    <row r="26" spans="1:4" x14ac:dyDescent="0.35">
      <c r="A26">
        <v>11.490421445791601</v>
      </c>
      <c r="B26">
        <v>12.54883829803846</v>
      </c>
      <c r="C26">
        <v>0</v>
      </c>
      <c r="D26" t="s">
        <v>87</v>
      </c>
    </row>
    <row r="27" spans="1:4" x14ac:dyDescent="0.35">
      <c r="A27">
        <v>12.54883829803846</v>
      </c>
      <c r="B27">
        <v>13.607255150285321</v>
      </c>
      <c r="C27">
        <v>1</v>
      </c>
      <c r="D27" t="s">
        <v>88</v>
      </c>
    </row>
    <row r="28" spans="1:4" x14ac:dyDescent="0.35">
      <c r="A28">
        <v>13.607255150285321</v>
      </c>
      <c r="B28">
        <v>14.66567200253218</v>
      </c>
      <c r="C28">
        <v>0</v>
      </c>
      <c r="D28" t="s">
        <v>89</v>
      </c>
    </row>
    <row r="29" spans="1:4" x14ac:dyDescent="0.35">
      <c r="A29">
        <v>14.66567200253218</v>
      </c>
      <c r="B29">
        <v>15.724088854779041</v>
      </c>
      <c r="C29">
        <v>0</v>
      </c>
      <c r="D29" t="s">
        <v>90</v>
      </c>
    </row>
    <row r="30" spans="1:4" x14ac:dyDescent="0.35">
      <c r="A30">
        <v>15.724088854779041</v>
      </c>
      <c r="B30">
        <v>16.782505707025901</v>
      </c>
      <c r="C30">
        <v>0</v>
      </c>
      <c r="D30" t="s">
        <v>91</v>
      </c>
    </row>
    <row r="31" spans="1:4" x14ac:dyDescent="0.35">
      <c r="A31">
        <v>16.782505707025901</v>
      </c>
      <c r="B31">
        <v>17.840922559272759</v>
      </c>
      <c r="C31">
        <v>1</v>
      </c>
      <c r="D31" t="s">
        <v>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66"/>
  <sheetViews>
    <sheetView workbookViewId="0"/>
  </sheetViews>
  <sheetFormatPr defaultRowHeight="14.5" x14ac:dyDescent="0.35"/>
  <sheetData>
    <row r="1" spans="1:2" x14ac:dyDescent="0.35">
      <c r="A1" t="s">
        <v>93</v>
      </c>
      <c r="B1" t="s">
        <v>94</v>
      </c>
    </row>
    <row r="2" spans="1:2" x14ac:dyDescent="0.35">
      <c r="A2">
        <v>-2.304148802718514</v>
      </c>
      <c r="B2">
        <v>-13.911583008133039</v>
      </c>
    </row>
    <row r="3" spans="1:2" x14ac:dyDescent="0.35">
      <c r="A3">
        <v>-1.947455499080504</v>
      </c>
      <c r="B3">
        <v>-11.863056261536171</v>
      </c>
    </row>
    <row r="4" spans="1:2" x14ac:dyDescent="0.35">
      <c r="A4">
        <v>-1.738756719768126</v>
      </c>
      <c r="B4">
        <v>-10.2771492482317</v>
      </c>
    </row>
    <row r="5" spans="1:2" x14ac:dyDescent="0.35">
      <c r="A5">
        <v>-1.586283652421818</v>
      </c>
      <c r="B5">
        <v>-8.1832598428729479</v>
      </c>
    </row>
    <row r="6" spans="1:2" x14ac:dyDescent="0.35">
      <c r="A6">
        <v>-1.463712957950456</v>
      </c>
      <c r="B6">
        <v>-7.0707471400221991</v>
      </c>
    </row>
    <row r="7" spans="1:2" x14ac:dyDescent="0.35">
      <c r="A7">
        <v>-1.359873974586397</v>
      </c>
      <c r="B7">
        <v>-7.059666790123913</v>
      </c>
    </row>
    <row r="8" spans="1:2" x14ac:dyDescent="0.35">
      <c r="A8">
        <v>-1.2689266605901199</v>
      </c>
      <c r="B8">
        <v>-6.1145567319632468</v>
      </c>
    </row>
    <row r="9" spans="1:2" x14ac:dyDescent="0.35">
      <c r="A9">
        <v>-1.1874132984385379</v>
      </c>
      <c r="B9">
        <v>-6.0615030423649223</v>
      </c>
    </row>
    <row r="10" spans="1:2" x14ac:dyDescent="0.35">
      <c r="A10">
        <v>-1.113107992275536</v>
      </c>
      <c r="B10">
        <v>-5.8128914686162689</v>
      </c>
    </row>
    <row r="11" spans="1:2" x14ac:dyDescent="0.35">
      <c r="A11">
        <v>-1.044488437267016</v>
      </c>
      <c r="B11">
        <v>-4.9308093240803377</v>
      </c>
    </row>
    <row r="12" spans="1:2" x14ac:dyDescent="0.35">
      <c r="A12">
        <v>-0.98046450857737233</v>
      </c>
      <c r="B12">
        <v>-4.3571222824896756</v>
      </c>
    </row>
    <row r="13" spans="1:2" x14ac:dyDescent="0.35">
      <c r="A13">
        <v>-0.92022671772725784</v>
      </c>
      <c r="B13">
        <v>-3.6903567945871298</v>
      </c>
    </row>
    <row r="14" spans="1:2" x14ac:dyDescent="0.35">
      <c r="A14">
        <v>-0.86315598573862384</v>
      </c>
      <c r="B14">
        <v>-3.6416398030073029</v>
      </c>
    </row>
    <row r="15" spans="1:2" x14ac:dyDescent="0.35">
      <c r="A15">
        <v>-0.8087670992647793</v>
      </c>
      <c r="B15">
        <v>-2.611894244253163</v>
      </c>
    </row>
    <row r="16" spans="1:2" x14ac:dyDescent="0.35">
      <c r="A16">
        <v>-0.75667175824250199</v>
      </c>
      <c r="B16">
        <v>-1.6273877823394469</v>
      </c>
    </row>
    <row r="17" spans="1:2" x14ac:dyDescent="0.35">
      <c r="A17">
        <v>-0.7065535665479824</v>
      </c>
      <c r="B17">
        <v>-1.0078000451796869</v>
      </c>
    </row>
    <row r="18" spans="1:2" x14ac:dyDescent="0.35">
      <c r="A18">
        <v>-0.65815059471823945</v>
      </c>
      <c r="B18">
        <v>-0.94634258160623208</v>
      </c>
    </row>
    <row r="19" spans="1:2" x14ac:dyDescent="0.35">
      <c r="A19">
        <v>-0.611242906249992</v>
      </c>
      <c r="B19">
        <v>-0.75471292717250793</v>
      </c>
    </row>
    <row r="20" spans="1:2" x14ac:dyDescent="0.35">
      <c r="A20">
        <v>-0.56564343211299073</v>
      </c>
      <c r="B20">
        <v>0.1758224003782235</v>
      </c>
    </row>
    <row r="21" spans="1:2" x14ac:dyDescent="0.35">
      <c r="A21">
        <v>-0.52119116059567572</v>
      </c>
      <c r="B21">
        <v>0.25309779758864898</v>
      </c>
    </row>
    <row r="22" spans="1:2" x14ac:dyDescent="0.35">
      <c r="A22">
        <v>-0.47774596328597341</v>
      </c>
      <c r="B22">
        <v>0.36566477712801648</v>
      </c>
    </row>
    <row r="23" spans="1:2" x14ac:dyDescent="0.35">
      <c r="A23">
        <v>-0.43518459935774467</v>
      </c>
      <c r="B23">
        <v>0.82777274738065276</v>
      </c>
    </row>
    <row r="24" spans="1:2" x14ac:dyDescent="0.35">
      <c r="A24">
        <v>-0.39339758263370561</v>
      </c>
      <c r="B24">
        <v>1.127794720151839</v>
      </c>
    </row>
    <row r="25" spans="1:2" x14ac:dyDescent="0.35">
      <c r="A25">
        <v>-0.35228668955786763</v>
      </c>
      <c r="B25">
        <v>1.623572732037267</v>
      </c>
    </row>
    <row r="26" spans="1:2" x14ac:dyDescent="0.35">
      <c r="A26">
        <v>-0.31176294916661168</v>
      </c>
      <c r="B26">
        <v>2.065791595550782</v>
      </c>
    </row>
    <row r="27" spans="1:2" x14ac:dyDescent="0.35">
      <c r="A27">
        <v>-0.27174499925836609</v>
      </c>
      <c r="B27">
        <v>2.2951016556302242</v>
      </c>
    </row>
    <row r="28" spans="1:2" x14ac:dyDescent="0.35">
      <c r="A28">
        <v>-0.23215772296907561</v>
      </c>
      <c r="B28">
        <v>2.3336392550301981</v>
      </c>
    </row>
    <row r="29" spans="1:2" x14ac:dyDescent="0.35">
      <c r="A29">
        <v>-0.1929311011416025</v>
      </c>
      <c r="B29">
        <v>2.3857911310369322</v>
      </c>
    </row>
    <row r="30" spans="1:2" x14ac:dyDescent="0.35">
      <c r="A30">
        <v>-0.15399923099930191</v>
      </c>
      <c r="B30">
        <v>2.4279456828328079</v>
      </c>
    </row>
    <row r="31" spans="1:2" x14ac:dyDescent="0.35">
      <c r="A31">
        <v>-0.1152994725183529</v>
      </c>
      <c r="B31">
        <v>2.5103771770021281</v>
      </c>
    </row>
    <row r="32" spans="1:2" x14ac:dyDescent="0.35">
      <c r="A32">
        <v>-7.6771691755402632E-2</v>
      </c>
      <c r="B32">
        <v>2.8909052583333792</v>
      </c>
    </row>
    <row r="33" spans="1:2" x14ac:dyDescent="0.35">
      <c r="A33">
        <v>-3.8357576046029788E-2</v>
      </c>
      <c r="B33">
        <v>3.2385363220587871</v>
      </c>
    </row>
    <row r="34" spans="1:2" x14ac:dyDescent="0.35">
      <c r="A34">
        <v>0</v>
      </c>
      <c r="B34">
        <v>3.564267589214456</v>
      </c>
    </row>
    <row r="35" spans="1:2" x14ac:dyDescent="0.35">
      <c r="A35">
        <v>3.8357576046029788E-2</v>
      </c>
      <c r="B35">
        <v>3.6965777844213941</v>
      </c>
    </row>
    <row r="36" spans="1:2" x14ac:dyDescent="0.35">
      <c r="A36">
        <v>7.6771691755402771E-2</v>
      </c>
      <c r="B36">
        <v>3.766011316095506</v>
      </c>
    </row>
    <row r="37" spans="1:2" x14ac:dyDescent="0.35">
      <c r="A37">
        <v>0.1152994725183529</v>
      </c>
      <c r="B37">
        <v>4.0133925517296261</v>
      </c>
    </row>
    <row r="38" spans="1:2" x14ac:dyDescent="0.35">
      <c r="A38">
        <v>0.15399923099930199</v>
      </c>
      <c r="B38">
        <v>4.3859579916920328</v>
      </c>
    </row>
    <row r="39" spans="1:2" x14ac:dyDescent="0.35">
      <c r="A39">
        <v>0.1929311011416025</v>
      </c>
      <c r="B39">
        <v>4.6456437839817148</v>
      </c>
    </row>
    <row r="40" spans="1:2" x14ac:dyDescent="0.35">
      <c r="A40">
        <v>0.23215772296907569</v>
      </c>
      <c r="B40">
        <v>4.7184812852076892</v>
      </c>
    </row>
    <row r="41" spans="1:2" x14ac:dyDescent="0.35">
      <c r="A41">
        <v>0.27174499925836609</v>
      </c>
      <c r="B41">
        <v>5.0538644668217181</v>
      </c>
    </row>
    <row r="42" spans="1:2" x14ac:dyDescent="0.35">
      <c r="A42">
        <v>0.31176294916661179</v>
      </c>
      <c r="B42">
        <v>5.1475583384288957</v>
      </c>
    </row>
    <row r="43" spans="1:2" x14ac:dyDescent="0.35">
      <c r="A43">
        <v>0.35228668955786768</v>
      </c>
      <c r="B43">
        <v>5.2986584930463829</v>
      </c>
    </row>
    <row r="44" spans="1:2" x14ac:dyDescent="0.35">
      <c r="A44">
        <v>0.39339758263370578</v>
      </c>
      <c r="B44">
        <v>5.3899078845695536</v>
      </c>
    </row>
    <row r="45" spans="1:2" x14ac:dyDescent="0.35">
      <c r="A45">
        <v>0.43518459935774478</v>
      </c>
      <c r="B45">
        <v>5.3929565088230467</v>
      </c>
    </row>
    <row r="46" spans="1:2" x14ac:dyDescent="0.35">
      <c r="A46">
        <v>0.47774596328597368</v>
      </c>
      <c r="B46">
        <v>5.7881663160725916</v>
      </c>
    </row>
    <row r="47" spans="1:2" x14ac:dyDescent="0.35">
      <c r="A47">
        <v>0.52119116059567583</v>
      </c>
      <c r="B47">
        <v>6.3299791587623124</v>
      </c>
    </row>
    <row r="48" spans="1:2" x14ac:dyDescent="0.35">
      <c r="A48">
        <v>0.56564343211299106</v>
      </c>
      <c r="B48">
        <v>6.424166037547578</v>
      </c>
    </row>
    <row r="49" spans="1:2" x14ac:dyDescent="0.35">
      <c r="A49">
        <v>0.61124290624999222</v>
      </c>
      <c r="B49">
        <v>6.671830710151232</v>
      </c>
    </row>
    <row r="50" spans="1:2" x14ac:dyDescent="0.35">
      <c r="A50">
        <v>0.65815059471823989</v>
      </c>
      <c r="B50">
        <v>7.0202792669974379</v>
      </c>
    </row>
    <row r="51" spans="1:2" x14ac:dyDescent="0.35">
      <c r="A51">
        <v>0.7065535665479824</v>
      </c>
      <c r="B51">
        <v>7.0271298710119829</v>
      </c>
    </row>
    <row r="52" spans="1:2" x14ac:dyDescent="0.35">
      <c r="A52">
        <v>0.75667175824250199</v>
      </c>
      <c r="B52">
        <v>7.2838900793066932</v>
      </c>
    </row>
    <row r="53" spans="1:2" x14ac:dyDescent="0.35">
      <c r="A53">
        <v>0.8087670992647793</v>
      </c>
      <c r="B53">
        <v>7.7126204712883419</v>
      </c>
    </row>
    <row r="54" spans="1:2" x14ac:dyDescent="0.35">
      <c r="A54">
        <v>0.86315598573862384</v>
      </c>
      <c r="B54">
        <v>7.9181372837170336</v>
      </c>
    </row>
    <row r="55" spans="1:2" x14ac:dyDescent="0.35">
      <c r="A55">
        <v>0.92022671772725806</v>
      </c>
      <c r="B55">
        <v>8.1044749259460627</v>
      </c>
    </row>
    <row r="56" spans="1:2" x14ac:dyDescent="0.35">
      <c r="A56">
        <v>0.98046450857737233</v>
      </c>
      <c r="B56">
        <v>8.1512473929645441</v>
      </c>
    </row>
    <row r="57" spans="1:2" x14ac:dyDescent="0.35">
      <c r="A57">
        <v>1.044488437267016</v>
      </c>
      <c r="B57">
        <v>8.467711638795107</v>
      </c>
    </row>
    <row r="58" spans="1:2" x14ac:dyDescent="0.35">
      <c r="A58">
        <v>1.113107992275536</v>
      </c>
      <c r="B58">
        <v>9.1865835159507796</v>
      </c>
    </row>
    <row r="59" spans="1:2" x14ac:dyDescent="0.35">
      <c r="A59">
        <v>1.187413298438539</v>
      </c>
      <c r="B59">
        <v>9.2391041829478251</v>
      </c>
    </row>
    <row r="60" spans="1:2" x14ac:dyDescent="0.35">
      <c r="A60">
        <v>1.2689266605901199</v>
      </c>
      <c r="B60">
        <v>9.7934159821528119</v>
      </c>
    </row>
    <row r="61" spans="1:2" x14ac:dyDescent="0.35">
      <c r="A61">
        <v>1.359873974586397</v>
      </c>
      <c r="B61">
        <v>10.441154446230531</v>
      </c>
    </row>
    <row r="62" spans="1:2" x14ac:dyDescent="0.35">
      <c r="A62">
        <v>1.463712957950456</v>
      </c>
      <c r="B62">
        <v>11.038550751626261</v>
      </c>
    </row>
    <row r="63" spans="1:2" x14ac:dyDescent="0.35">
      <c r="A63">
        <v>1.5862836524218189</v>
      </c>
      <c r="B63">
        <v>11.1546742783244</v>
      </c>
    </row>
    <row r="64" spans="1:2" x14ac:dyDescent="0.35">
      <c r="A64">
        <v>1.738756719768126</v>
      </c>
      <c r="B64">
        <v>11.40077177190636</v>
      </c>
    </row>
    <row r="65" spans="1:2" x14ac:dyDescent="0.35">
      <c r="A65">
        <v>1.9474554990805051</v>
      </c>
      <c r="B65">
        <v>12.841692123206901</v>
      </c>
    </row>
    <row r="66" spans="1:2" x14ac:dyDescent="0.35">
      <c r="A66">
        <v>2.304148802718514</v>
      </c>
      <c r="B66">
        <v>17.840922559272759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67"/>
  <sheetViews>
    <sheetView zoomScale="80" zoomScaleNormal="80" workbookViewId="0">
      <pane xSplit="1" ySplit="1" topLeftCell="O39" activePane="bottomRight" state="frozen"/>
      <selection pane="topRight" activeCell="B1" sqref="B1"/>
      <selection pane="bottomLeft" activeCell="A2" sqref="A2"/>
      <selection pane="bottomRight" activeCell="B67" activeCellId="1" sqref="B1:Y1 B67:Y67"/>
    </sheetView>
  </sheetViews>
  <sheetFormatPr defaultRowHeight="14.5" x14ac:dyDescent="0.35"/>
  <cols>
    <col min="1" max="1" width="18.54296875" bestFit="1" customWidth="1"/>
  </cols>
  <sheetData>
    <row r="1" spans="1:25" x14ac:dyDescent="0.35">
      <c r="A1" t="s">
        <v>28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</row>
    <row r="2" spans="1:25" x14ac:dyDescent="0.35">
      <c r="A2" s="4">
        <v>44196</v>
      </c>
      <c r="B2">
        <v>0.1168367861993259</v>
      </c>
      <c r="C2">
        <v>0</v>
      </c>
      <c r="D2">
        <v>5.5543183075064765E-17</v>
      </c>
      <c r="E2">
        <v>5.9264738621188598E-2</v>
      </c>
      <c r="F2">
        <v>0</v>
      </c>
      <c r="G2">
        <v>7.8528551423909199E-18</v>
      </c>
      <c r="H2">
        <v>2.3380383347413689E-2</v>
      </c>
      <c r="I2">
        <v>0.1233182567265734</v>
      </c>
      <c r="J2">
        <v>0</v>
      </c>
      <c r="K2">
        <v>2.49723888434383E-2</v>
      </c>
      <c r="L2">
        <v>2.6463894433708848E-2</v>
      </c>
      <c r="M2">
        <v>1.530457211123662E-2</v>
      </c>
      <c r="N2">
        <v>1.5280935050354541E-2</v>
      </c>
      <c r="O2">
        <v>4.783019938021163E-2</v>
      </c>
      <c r="P2">
        <v>4.9433184721611387E-2</v>
      </c>
      <c r="Q2">
        <v>6.0917615696691248E-2</v>
      </c>
      <c r="R2">
        <v>1.1885566315872339E-17</v>
      </c>
      <c r="S2">
        <v>1.490777987167569E-18</v>
      </c>
      <c r="T2">
        <v>4.8676448566092018E-2</v>
      </c>
      <c r="U2">
        <v>0</v>
      </c>
      <c r="V2">
        <v>0</v>
      </c>
      <c r="W2">
        <v>0.30802018965467659</v>
      </c>
      <c r="X2">
        <v>0</v>
      </c>
      <c r="Y2">
        <v>8.0300406647477077E-2</v>
      </c>
    </row>
    <row r="3" spans="1:25" x14ac:dyDescent="0.35">
      <c r="A3" s="4">
        <v>44225</v>
      </c>
      <c r="B3">
        <v>0.12726483713395789</v>
      </c>
      <c r="C3">
        <v>8.6949813736580336E-18</v>
      </c>
      <c r="D3">
        <v>3.870027649719437E-17</v>
      </c>
      <c r="E3">
        <v>6.394028495343361E-2</v>
      </c>
      <c r="F3">
        <v>5.1141495717658806E-18</v>
      </c>
      <c r="G3">
        <v>1.668915531107992E-18</v>
      </c>
      <c r="H3">
        <v>1.9740292055364889E-2</v>
      </c>
      <c r="I3">
        <v>0.1299910106168187</v>
      </c>
      <c r="J3">
        <v>0</v>
      </c>
      <c r="K3">
        <v>3.2032126694994452E-2</v>
      </c>
      <c r="L3">
        <v>2.5250033606304859E-2</v>
      </c>
      <c r="M3">
        <v>1.38784092442819E-2</v>
      </c>
      <c r="N3">
        <v>9.8950036550625904E-3</v>
      </c>
      <c r="O3">
        <v>4.4058219977890882E-2</v>
      </c>
      <c r="P3">
        <v>5.9327781220924893E-2</v>
      </c>
      <c r="Q3">
        <v>5.3032491130549399E-2</v>
      </c>
      <c r="R3">
        <v>1.4907779871675691E-19</v>
      </c>
      <c r="S3">
        <v>0</v>
      </c>
      <c r="T3">
        <v>2.973374777124525E-2</v>
      </c>
      <c r="U3">
        <v>0</v>
      </c>
      <c r="V3">
        <v>0</v>
      </c>
      <c r="W3">
        <v>0.31051806467957299</v>
      </c>
      <c r="X3">
        <v>0</v>
      </c>
      <c r="Y3">
        <v>8.1337697259597608E-2</v>
      </c>
    </row>
    <row r="4" spans="1:25" x14ac:dyDescent="0.35">
      <c r="A4" s="4">
        <v>44253</v>
      </c>
      <c r="B4">
        <v>0.13424656143135799</v>
      </c>
      <c r="C4">
        <v>1.117014886629199E-17</v>
      </c>
      <c r="D4">
        <v>0</v>
      </c>
      <c r="E4">
        <v>6.2396656447771003E-2</v>
      </c>
      <c r="F4">
        <v>6.6567418979165899E-18</v>
      </c>
      <c r="G4">
        <v>0</v>
      </c>
      <c r="H4">
        <v>2.092004573556026E-2</v>
      </c>
      <c r="I4">
        <v>0.1179786220671467</v>
      </c>
      <c r="J4">
        <v>2.7265090226566359E-18</v>
      </c>
      <c r="K4">
        <v>4.0059084971352223E-2</v>
      </c>
      <c r="L4">
        <v>2.1071622849069341E-2</v>
      </c>
      <c r="M4">
        <v>1.551732242990622E-2</v>
      </c>
      <c r="N4">
        <v>7.4248758909197616E-3</v>
      </c>
      <c r="O4">
        <v>4.1065198606775648E-2</v>
      </c>
      <c r="P4">
        <v>6.3720771779071664E-2</v>
      </c>
      <c r="Q4">
        <v>4.9850031386893742E-2</v>
      </c>
      <c r="R4">
        <v>0</v>
      </c>
      <c r="S4">
        <v>0</v>
      </c>
      <c r="T4">
        <v>2.2370595777234291E-2</v>
      </c>
      <c r="U4">
        <v>1.2603850255143989E-18</v>
      </c>
      <c r="V4">
        <v>2.2226144535952841E-18</v>
      </c>
      <c r="W4">
        <v>0.30236620012218951</v>
      </c>
      <c r="X4">
        <v>0</v>
      </c>
      <c r="Y4">
        <v>0.1010124105047517</v>
      </c>
    </row>
    <row r="5" spans="1:25" x14ac:dyDescent="0.35">
      <c r="A5" s="4">
        <v>44286</v>
      </c>
      <c r="B5">
        <v>0.21466113281207241</v>
      </c>
      <c r="C5">
        <v>8.3765788651838038E-18</v>
      </c>
      <c r="D5">
        <v>1.3531948928368619E-18</v>
      </c>
      <c r="E5">
        <v>5.7517434031464892E-2</v>
      </c>
      <c r="F5">
        <v>0</v>
      </c>
      <c r="G5">
        <v>1.30448820002304E-2</v>
      </c>
      <c r="H5">
        <v>2.8534517821968169E-2</v>
      </c>
      <c r="I5">
        <v>4.6557296371747603E-2</v>
      </c>
      <c r="J5">
        <v>7.2901480674454915E-4</v>
      </c>
      <c r="K5">
        <v>1.622233813612595E-2</v>
      </c>
      <c r="L5">
        <v>1.0902181405806391E-2</v>
      </c>
      <c r="M5">
        <v>4.6312205882103323E-2</v>
      </c>
      <c r="N5">
        <v>0</v>
      </c>
      <c r="O5">
        <v>7.3528398459694272E-3</v>
      </c>
      <c r="P5">
        <v>5.4915632324052471E-2</v>
      </c>
      <c r="Q5">
        <v>5.7784088329799303E-3</v>
      </c>
      <c r="R5">
        <v>2.0131626008578651E-2</v>
      </c>
      <c r="S5">
        <v>1.9048881988453521E-2</v>
      </c>
      <c r="T5">
        <v>1.240278606966945E-2</v>
      </c>
      <c r="U5">
        <v>2.495588321173571E-2</v>
      </c>
      <c r="V5">
        <v>4.0707330410938207E-2</v>
      </c>
      <c r="W5">
        <v>0.33231023335541088</v>
      </c>
      <c r="X5">
        <v>0</v>
      </c>
      <c r="Y5">
        <v>4.7915374683947992E-2</v>
      </c>
    </row>
    <row r="6" spans="1:25" x14ac:dyDescent="0.35">
      <c r="A6" s="4">
        <v>44316</v>
      </c>
      <c r="B6">
        <v>0.24326393832444071</v>
      </c>
      <c r="C6">
        <v>0</v>
      </c>
      <c r="D6">
        <v>9.4903492118186443E-18</v>
      </c>
      <c r="E6">
        <v>5.2011250911729777E-2</v>
      </c>
      <c r="F6">
        <v>0</v>
      </c>
      <c r="G6">
        <v>0</v>
      </c>
      <c r="H6">
        <v>2.5305742572426609E-2</v>
      </c>
      <c r="I6">
        <v>8.0053877485027625E-2</v>
      </c>
      <c r="J6">
        <v>2.8505331581918001E-3</v>
      </c>
      <c r="K6">
        <v>2.3559660020970409E-2</v>
      </c>
      <c r="L6">
        <v>2.779371714772729E-3</v>
      </c>
      <c r="M6">
        <v>4.1113292958862541E-2</v>
      </c>
      <c r="N6">
        <v>0</v>
      </c>
      <c r="O6">
        <v>2.0125419206071079E-2</v>
      </c>
      <c r="P6">
        <v>3.4009378946316497E-2</v>
      </c>
      <c r="Q6">
        <v>6.9966842151019841E-18</v>
      </c>
      <c r="R6">
        <v>1.308213348684998E-2</v>
      </c>
      <c r="S6">
        <v>1.8048039584711271E-2</v>
      </c>
      <c r="T6">
        <v>2.064058846542902E-2</v>
      </c>
      <c r="U6">
        <v>2.5959120779895511E-2</v>
      </c>
      <c r="V6">
        <v>5.2970860671883009E-2</v>
      </c>
      <c r="W6">
        <v>0.31205451527643518</v>
      </c>
      <c r="X6">
        <v>0</v>
      </c>
      <c r="Y6">
        <v>3.2172276435986288E-2</v>
      </c>
    </row>
    <row r="7" spans="1:25" x14ac:dyDescent="0.35">
      <c r="A7" s="4">
        <v>44344</v>
      </c>
      <c r="B7">
        <v>0.25898982619392519</v>
      </c>
      <c r="C7">
        <v>0</v>
      </c>
      <c r="D7">
        <v>0</v>
      </c>
      <c r="E7">
        <v>5.2792160070894177E-2</v>
      </c>
      <c r="F7">
        <v>0</v>
      </c>
      <c r="G7">
        <v>1.5251351771564249E-18</v>
      </c>
      <c r="H7">
        <v>2.4229893636594842E-2</v>
      </c>
      <c r="I7">
        <v>0.10249400780304629</v>
      </c>
      <c r="J7">
        <v>4.4759448096012838E-4</v>
      </c>
      <c r="K7">
        <v>2.082391921358789E-2</v>
      </c>
      <c r="L7">
        <v>1.308814317077361E-17</v>
      </c>
      <c r="M7">
        <v>1.272007999733599E-2</v>
      </c>
      <c r="N7">
        <v>0</v>
      </c>
      <c r="O7">
        <v>1.556620715285151E-2</v>
      </c>
      <c r="P7">
        <v>3.4511708734403151E-2</v>
      </c>
      <c r="Q7">
        <v>0</v>
      </c>
      <c r="R7">
        <v>1.2062500048956591E-2</v>
      </c>
      <c r="S7">
        <v>1.103085555552657E-2</v>
      </c>
      <c r="T7">
        <v>2.0651337272158728E-2</v>
      </c>
      <c r="U7">
        <v>1.8751475440746509E-2</v>
      </c>
      <c r="V7">
        <v>4.0054799028189633E-2</v>
      </c>
      <c r="W7">
        <v>0.35457165055847562</v>
      </c>
      <c r="X7">
        <v>9.3241386833753381E-18</v>
      </c>
      <c r="Y7">
        <v>2.0301984812347379E-2</v>
      </c>
    </row>
    <row r="8" spans="1:25" x14ac:dyDescent="0.35">
      <c r="A8" s="4">
        <v>44377</v>
      </c>
      <c r="B8">
        <v>0.24910139910903231</v>
      </c>
      <c r="C8">
        <v>1.199242591112221E-17</v>
      </c>
      <c r="D8">
        <v>0</v>
      </c>
      <c r="E8">
        <v>5.500660076491605E-2</v>
      </c>
      <c r="F8">
        <v>0</v>
      </c>
      <c r="G8">
        <v>1.3330565742166271E-17</v>
      </c>
      <c r="H8">
        <v>2.4486565248303241E-2</v>
      </c>
      <c r="I8">
        <v>8.6981457685452054E-2</v>
      </c>
      <c r="J8">
        <v>0</v>
      </c>
      <c r="K8">
        <v>1.703852444977905E-2</v>
      </c>
      <c r="L8">
        <v>1.9012634977965851E-17</v>
      </c>
      <c r="M8">
        <v>2.1847643779886149E-2</v>
      </c>
      <c r="N8">
        <v>5.4086575257871932E-17</v>
      </c>
      <c r="O8">
        <v>3.1542721903177563E-2</v>
      </c>
      <c r="P8">
        <v>2.654563492570855E-2</v>
      </c>
      <c r="Q8">
        <v>0</v>
      </c>
      <c r="R8">
        <v>3.8257219109817948E-2</v>
      </c>
      <c r="S8">
        <v>2.019478340951782E-2</v>
      </c>
      <c r="T8">
        <v>1.4396549585161201E-2</v>
      </c>
      <c r="U8">
        <v>9.9209822002421805E-3</v>
      </c>
      <c r="V8">
        <v>3.0821826644770081E-2</v>
      </c>
      <c r="W8">
        <v>0.34291325567512448</v>
      </c>
      <c r="X8">
        <v>2.7105054312137611E-18</v>
      </c>
      <c r="Y8">
        <v>3.0944835509111372E-2</v>
      </c>
    </row>
    <row r="9" spans="1:25" x14ac:dyDescent="0.35">
      <c r="A9" s="4">
        <v>44407</v>
      </c>
      <c r="B9">
        <v>0.2658023610239168</v>
      </c>
      <c r="C9">
        <v>0</v>
      </c>
      <c r="D9">
        <v>6.074662506795167E-17</v>
      </c>
      <c r="E9">
        <v>4.1223058795062772E-2</v>
      </c>
      <c r="F9">
        <v>0</v>
      </c>
      <c r="G9">
        <v>0</v>
      </c>
      <c r="H9">
        <v>2.6648530609956009E-2</v>
      </c>
      <c r="I9">
        <v>9.4013147335125502E-2</v>
      </c>
      <c r="J9">
        <v>0</v>
      </c>
      <c r="K9">
        <v>1.274772628801199E-2</v>
      </c>
      <c r="L9">
        <v>0</v>
      </c>
      <c r="M9">
        <v>1.8183352904280761E-2</v>
      </c>
      <c r="N9">
        <v>0</v>
      </c>
      <c r="O9">
        <v>1.874908728169478E-2</v>
      </c>
      <c r="P9">
        <v>1.876986452442593E-2</v>
      </c>
      <c r="Q9">
        <v>0</v>
      </c>
      <c r="R9">
        <v>2.504810866986712E-2</v>
      </c>
      <c r="S9">
        <v>2.136172266500137E-2</v>
      </c>
      <c r="T9">
        <v>1.639407816253281E-2</v>
      </c>
      <c r="U9">
        <v>1.798087070721759E-2</v>
      </c>
      <c r="V9">
        <v>1.9077480690409751E-2</v>
      </c>
      <c r="W9">
        <v>0.38032481647266492</v>
      </c>
      <c r="X9">
        <v>1.512462030617279E-17</v>
      </c>
      <c r="Y9">
        <v>2.367579386983186E-2</v>
      </c>
    </row>
    <row r="10" spans="1:25" x14ac:dyDescent="0.35">
      <c r="A10" s="4">
        <v>44439</v>
      </c>
      <c r="B10">
        <v>0.28700615036116672</v>
      </c>
      <c r="C10">
        <v>0</v>
      </c>
      <c r="D10">
        <v>0</v>
      </c>
      <c r="E10">
        <v>3.338612919347949E-2</v>
      </c>
      <c r="F10">
        <v>1.2931077331750869E-17</v>
      </c>
      <c r="G10">
        <v>5.1925843256355799E-18</v>
      </c>
      <c r="H10">
        <v>2.4953370141098601E-2</v>
      </c>
      <c r="I10">
        <v>0.11118931601209581</v>
      </c>
      <c r="J10">
        <v>3.9897816032013111E-18</v>
      </c>
      <c r="K10">
        <v>1.0905565011874349E-2</v>
      </c>
      <c r="L10">
        <v>1.9383383925328651E-3</v>
      </c>
      <c r="M10">
        <v>0</v>
      </c>
      <c r="N10">
        <v>0</v>
      </c>
      <c r="O10">
        <v>1.1770340223610089E-2</v>
      </c>
      <c r="P10">
        <v>2.1864002719711E-2</v>
      </c>
      <c r="Q10">
        <v>0</v>
      </c>
      <c r="R10">
        <v>8.6626432060383923E-3</v>
      </c>
      <c r="S10">
        <v>1.434094518874731E-2</v>
      </c>
      <c r="T10">
        <v>1.2897239849144451E-2</v>
      </c>
      <c r="U10">
        <v>3.2531771283695471E-3</v>
      </c>
      <c r="V10">
        <v>1.641440926838859E-2</v>
      </c>
      <c r="W10">
        <v>0.41888237137579748</v>
      </c>
      <c r="X10">
        <v>1.45960717470861E-17</v>
      </c>
      <c r="Y10">
        <v>2.2536001927945339E-2</v>
      </c>
    </row>
    <row r="11" spans="1:25" x14ac:dyDescent="0.35">
      <c r="A11" s="4">
        <v>44469</v>
      </c>
      <c r="B11">
        <v>0.3184489703925576</v>
      </c>
      <c r="C11">
        <v>1.4281569755563731E-17</v>
      </c>
      <c r="D11">
        <v>0</v>
      </c>
      <c r="E11">
        <v>2.3488963095524999E-2</v>
      </c>
      <c r="F11">
        <v>8.9431518861307177E-18</v>
      </c>
      <c r="G11">
        <v>2.45387225109769E-17</v>
      </c>
      <c r="H11">
        <v>1.9412837311875999E-2</v>
      </c>
      <c r="I11">
        <v>0.12019397823519209</v>
      </c>
      <c r="J11">
        <v>3.1075111153850039E-18</v>
      </c>
      <c r="K11">
        <v>9.7524899897164542E-3</v>
      </c>
      <c r="L11">
        <v>2.5375572121382741E-3</v>
      </c>
      <c r="M11">
        <v>0</v>
      </c>
      <c r="N11">
        <v>1.259894608648028E-17</v>
      </c>
      <c r="O11">
        <v>1.301997996682284E-2</v>
      </c>
      <c r="P11">
        <v>1.604664951259575E-2</v>
      </c>
      <c r="Q11">
        <v>0</v>
      </c>
      <c r="R11">
        <v>6.5344481444612302E-5</v>
      </c>
      <c r="S11">
        <v>8.2440937123133846E-3</v>
      </c>
      <c r="T11">
        <v>2.0290442065019121E-2</v>
      </c>
      <c r="U11">
        <v>1.419627219598207E-18</v>
      </c>
      <c r="V11">
        <v>0</v>
      </c>
      <c r="W11">
        <v>0.42375666847419857</v>
      </c>
      <c r="X11">
        <v>2.2459925629395031E-17</v>
      </c>
      <c r="Y11">
        <v>2.4742025550600261E-2</v>
      </c>
    </row>
    <row r="12" spans="1:25" x14ac:dyDescent="0.35">
      <c r="A12" s="4">
        <v>44498</v>
      </c>
      <c r="B12">
        <v>0.2601085851614342</v>
      </c>
      <c r="C12">
        <v>5.9635092284098696E-18</v>
      </c>
      <c r="D12">
        <v>0</v>
      </c>
      <c r="E12">
        <v>2.779196965420401E-2</v>
      </c>
      <c r="F12">
        <v>0</v>
      </c>
      <c r="G12">
        <v>9.8406677680285396E-19</v>
      </c>
      <c r="H12">
        <v>2.124483257010152E-2</v>
      </c>
      <c r="I12">
        <v>9.401936281489659E-2</v>
      </c>
      <c r="J12">
        <v>0</v>
      </c>
      <c r="K12">
        <v>3.5919225757698237E-2</v>
      </c>
      <c r="L12">
        <v>6.6858385135680062E-3</v>
      </c>
      <c r="M12">
        <v>4.8993767498650392E-2</v>
      </c>
      <c r="N12">
        <v>2.7105054312137611E-19</v>
      </c>
      <c r="O12">
        <v>1.641812689909811E-2</v>
      </c>
      <c r="P12">
        <v>3.5873517012885908E-2</v>
      </c>
      <c r="Q12">
        <v>0</v>
      </c>
      <c r="R12">
        <v>2.58389376131638E-2</v>
      </c>
      <c r="S12">
        <v>2.1606134135533708E-2</v>
      </c>
      <c r="T12">
        <v>1.7192282999240461E-2</v>
      </c>
      <c r="U12">
        <v>3.9579914070324303E-2</v>
      </c>
      <c r="V12">
        <v>1.0209223513410861E-2</v>
      </c>
      <c r="W12">
        <v>0.287212530432992</v>
      </c>
      <c r="X12">
        <v>0</v>
      </c>
      <c r="Y12">
        <v>5.1305751352798003E-2</v>
      </c>
    </row>
    <row r="13" spans="1:25" x14ac:dyDescent="0.35">
      <c r="A13" s="4">
        <v>44530</v>
      </c>
      <c r="B13">
        <v>0.25020358941858928</v>
      </c>
      <c r="C13">
        <v>1.1978527145598059E-17</v>
      </c>
      <c r="D13">
        <v>1.0359268346065611E-18</v>
      </c>
      <c r="E13">
        <v>2.5328011806157701E-2</v>
      </c>
      <c r="F13">
        <v>0</v>
      </c>
      <c r="G13">
        <v>3.4539875644307851E-18</v>
      </c>
      <c r="H13">
        <v>2.0798352188683328E-2</v>
      </c>
      <c r="I13">
        <v>9.8404366190139203E-2</v>
      </c>
      <c r="J13">
        <v>2.275983069386857E-18</v>
      </c>
      <c r="K13">
        <v>3.9753481613140948E-2</v>
      </c>
      <c r="L13">
        <v>1.2823458676983601E-2</v>
      </c>
      <c r="M13">
        <v>3.6528067484395257E-2</v>
      </c>
      <c r="N13">
        <v>0</v>
      </c>
      <c r="O13">
        <v>2.4772902788626611E-2</v>
      </c>
      <c r="P13">
        <v>2.6922532256681439E-2</v>
      </c>
      <c r="Q13">
        <v>1.4404512511358579E-17</v>
      </c>
      <c r="R13">
        <v>3.1458343592126167E-2</v>
      </c>
      <c r="S13">
        <v>2.4615688269453082E-2</v>
      </c>
      <c r="T13">
        <v>1.5915485257294412E-2</v>
      </c>
      <c r="U13">
        <v>4.5565930951785939E-2</v>
      </c>
      <c r="V13">
        <v>2.589510965979756E-3</v>
      </c>
      <c r="W13">
        <v>0.30306008500482179</v>
      </c>
      <c r="X13">
        <v>2.0128094807368791E-3</v>
      </c>
      <c r="Y13">
        <v>3.9247384054404567E-2</v>
      </c>
    </row>
    <row r="14" spans="1:25" x14ac:dyDescent="0.35">
      <c r="A14" s="4">
        <v>44561</v>
      </c>
      <c r="B14">
        <v>0.24973648957141131</v>
      </c>
      <c r="C14">
        <v>5.5820871536122439E-3</v>
      </c>
      <c r="D14">
        <v>0</v>
      </c>
      <c r="E14">
        <v>2.9604272334293441E-2</v>
      </c>
      <c r="F14">
        <v>0</v>
      </c>
      <c r="G14">
        <v>0</v>
      </c>
      <c r="H14">
        <v>3.008088758717169E-2</v>
      </c>
      <c r="I14">
        <v>0.11684450025054501</v>
      </c>
      <c r="J14">
        <v>6.8978981179682777E-18</v>
      </c>
      <c r="K14">
        <v>2.793626376958663E-2</v>
      </c>
      <c r="L14">
        <v>1.6392786365233181E-3</v>
      </c>
      <c r="M14">
        <v>1.939603909351895E-2</v>
      </c>
      <c r="N14">
        <v>4.9395579439163353E-18</v>
      </c>
      <c r="O14">
        <v>3.9860200859218722E-2</v>
      </c>
      <c r="P14">
        <v>1.8453693706055568E-2</v>
      </c>
      <c r="Q14">
        <v>1.2998353466205709E-17</v>
      </c>
      <c r="R14">
        <v>1.972203126747751E-2</v>
      </c>
      <c r="S14">
        <v>2.1657951859976331E-2</v>
      </c>
      <c r="T14">
        <v>3.6086488701950431E-3</v>
      </c>
      <c r="U14">
        <v>4.5842807366138147E-2</v>
      </c>
      <c r="V14">
        <v>5.9177937014561876E-3</v>
      </c>
      <c r="W14">
        <v>0.34110592595941952</v>
      </c>
      <c r="X14">
        <v>0</v>
      </c>
      <c r="Y14">
        <v>2.301112801340046E-2</v>
      </c>
    </row>
    <row r="15" spans="1:25" x14ac:dyDescent="0.35">
      <c r="A15" s="4">
        <v>44592</v>
      </c>
      <c r="B15">
        <v>0.28658615411940308</v>
      </c>
      <c r="C15">
        <v>9.9013295146112617E-18</v>
      </c>
      <c r="D15">
        <v>1.200267595421719E-17</v>
      </c>
      <c r="E15">
        <v>7.455757013635462E-3</v>
      </c>
      <c r="F15">
        <v>2.7568434894084051E-18</v>
      </c>
      <c r="G15">
        <v>2.6439162579749201E-17</v>
      </c>
      <c r="H15">
        <v>2.81576331288916E-2</v>
      </c>
      <c r="I15">
        <v>0.14944279786255121</v>
      </c>
      <c r="J15">
        <v>6.3337125157399079E-18</v>
      </c>
      <c r="K15">
        <v>2.0857379907381401E-2</v>
      </c>
      <c r="L15">
        <v>5.928935723753046E-3</v>
      </c>
      <c r="M15">
        <v>0</v>
      </c>
      <c r="N15">
        <v>6.3656421356747178E-18</v>
      </c>
      <c r="O15">
        <v>4.3298038253062061E-2</v>
      </c>
      <c r="P15">
        <v>1.6016746755636759E-3</v>
      </c>
      <c r="Q15">
        <v>2.7014740182174478E-18</v>
      </c>
      <c r="R15">
        <v>9.3440584861202952E-6</v>
      </c>
      <c r="S15">
        <v>1.9483203400899492E-2</v>
      </c>
      <c r="T15">
        <v>3.3906098785801519E-18</v>
      </c>
      <c r="U15">
        <v>1.5000490119017071E-2</v>
      </c>
      <c r="V15">
        <v>1.2482938501259319E-2</v>
      </c>
      <c r="W15">
        <v>0.40969565323609641</v>
      </c>
      <c r="X15">
        <v>1.4300191739551799E-17</v>
      </c>
      <c r="Y15">
        <v>4.4606632475872463E-17</v>
      </c>
    </row>
    <row r="16" spans="1:25" x14ac:dyDescent="0.35">
      <c r="A16" s="4">
        <v>44620</v>
      </c>
      <c r="B16">
        <v>0.28963150139643712</v>
      </c>
      <c r="C16">
        <v>0</v>
      </c>
      <c r="D16">
        <v>0</v>
      </c>
      <c r="E16">
        <v>1.6214804856062831E-2</v>
      </c>
      <c r="F16">
        <v>0</v>
      </c>
      <c r="G16">
        <v>0</v>
      </c>
      <c r="H16">
        <v>2.6454529902067821E-2</v>
      </c>
      <c r="I16">
        <v>0.14909438858944221</v>
      </c>
      <c r="J16">
        <v>1.8431436932253579E-18</v>
      </c>
      <c r="K16">
        <v>1.065530076147706E-2</v>
      </c>
      <c r="L16">
        <v>4.9612850837660281E-3</v>
      </c>
      <c r="M16">
        <v>6.8650882274341636E-18</v>
      </c>
      <c r="N16">
        <v>0</v>
      </c>
      <c r="O16">
        <v>3.471784273691244E-2</v>
      </c>
      <c r="P16">
        <v>2.8619777940403239E-3</v>
      </c>
      <c r="Q16">
        <v>0</v>
      </c>
      <c r="R16">
        <v>5.3679511059195536E-18</v>
      </c>
      <c r="S16">
        <v>2.5331656186348011E-2</v>
      </c>
      <c r="T16">
        <v>0</v>
      </c>
      <c r="U16">
        <v>6.9208240853597539E-3</v>
      </c>
      <c r="V16">
        <v>7.2529665249185934E-3</v>
      </c>
      <c r="W16">
        <v>0.42590292208316788</v>
      </c>
      <c r="X16">
        <v>0</v>
      </c>
      <c r="Y16">
        <v>1.5656859210927341E-17</v>
      </c>
    </row>
    <row r="17" spans="1:25" x14ac:dyDescent="0.35">
      <c r="A17" s="4">
        <v>44651</v>
      </c>
      <c r="B17">
        <v>0.27307370761771671</v>
      </c>
      <c r="C17">
        <v>1.9362851963080841E-2</v>
      </c>
      <c r="D17">
        <v>1.012481394786289E-17</v>
      </c>
      <c r="E17">
        <v>2.3497070159563951E-2</v>
      </c>
      <c r="F17">
        <v>3.9678731955126853E-18</v>
      </c>
      <c r="G17">
        <v>3.4925938643468802E-17</v>
      </c>
      <c r="H17">
        <v>3.2009888245578648E-2</v>
      </c>
      <c r="I17">
        <v>0.11389269067716699</v>
      </c>
      <c r="J17">
        <v>0</v>
      </c>
      <c r="K17">
        <v>1.635602257301258E-2</v>
      </c>
      <c r="L17">
        <v>0</v>
      </c>
      <c r="M17">
        <v>0</v>
      </c>
      <c r="N17">
        <v>0</v>
      </c>
      <c r="O17">
        <v>2.9544376310312499E-2</v>
      </c>
      <c r="P17">
        <v>1.19312674936639E-2</v>
      </c>
      <c r="Q17">
        <v>0</v>
      </c>
      <c r="R17">
        <v>0</v>
      </c>
      <c r="S17">
        <v>1.6369414211606009E-2</v>
      </c>
      <c r="T17">
        <v>1.389425355589911E-2</v>
      </c>
      <c r="U17">
        <v>4.1865556582734713E-2</v>
      </c>
      <c r="V17">
        <v>8.0502011307048704E-18</v>
      </c>
      <c r="W17">
        <v>0.38634628942663712</v>
      </c>
      <c r="X17">
        <v>2.439454888092385E-17</v>
      </c>
      <c r="Y17">
        <v>2.185661118302681E-2</v>
      </c>
    </row>
    <row r="18" spans="1:25" x14ac:dyDescent="0.35">
      <c r="A18" s="4">
        <v>44680</v>
      </c>
      <c r="B18">
        <v>0.43135555785368118</v>
      </c>
      <c r="C18">
        <v>8.3733576733827003E-18</v>
      </c>
      <c r="D18">
        <v>0</v>
      </c>
      <c r="E18">
        <v>6.0835523027800336E-3</v>
      </c>
      <c r="F18">
        <v>3.6759190150126558E-4</v>
      </c>
      <c r="G18">
        <v>0</v>
      </c>
      <c r="H18">
        <v>0</v>
      </c>
      <c r="I18">
        <v>7.4522760812645999E-2</v>
      </c>
      <c r="J18">
        <v>2.4195462427695288E-18</v>
      </c>
      <c r="K18">
        <v>0</v>
      </c>
      <c r="L18">
        <v>6.1173532180299264E-3</v>
      </c>
      <c r="M18">
        <v>4.8839373212160558E-18</v>
      </c>
      <c r="N18">
        <v>0</v>
      </c>
      <c r="O18">
        <v>0</v>
      </c>
      <c r="P18">
        <v>1.3614697809919531E-17</v>
      </c>
      <c r="Q18">
        <v>0</v>
      </c>
      <c r="R18">
        <v>6.34695904940312E-18</v>
      </c>
      <c r="S18">
        <v>5.7712091861955713E-18</v>
      </c>
      <c r="T18">
        <v>0</v>
      </c>
      <c r="U18">
        <v>0</v>
      </c>
      <c r="V18">
        <v>1.197891075246059E-17</v>
      </c>
      <c r="W18">
        <v>0.48155318391136148</v>
      </c>
      <c r="X18">
        <v>1.560248484106308E-18</v>
      </c>
      <c r="Y18">
        <v>5.4528538983813072E-17</v>
      </c>
    </row>
    <row r="19" spans="1:25" x14ac:dyDescent="0.35">
      <c r="A19" s="4">
        <v>44712</v>
      </c>
      <c r="B19">
        <v>0.43121387736816219</v>
      </c>
      <c r="C19">
        <v>8.8491545078512789E-18</v>
      </c>
      <c r="D19">
        <v>4.6780486493177342E-17</v>
      </c>
      <c r="E19">
        <v>1.628238442191653E-2</v>
      </c>
      <c r="F19">
        <v>0</v>
      </c>
      <c r="G19">
        <v>1.7333103211035159E-17</v>
      </c>
      <c r="H19">
        <v>2.2042167627073271E-3</v>
      </c>
      <c r="I19">
        <v>4.0212612124899773E-2</v>
      </c>
      <c r="J19">
        <v>0</v>
      </c>
      <c r="K19">
        <v>2.9054397855047209E-17</v>
      </c>
      <c r="L19">
        <v>4.3668544431124823E-3</v>
      </c>
      <c r="M19">
        <v>0</v>
      </c>
      <c r="N19">
        <v>0</v>
      </c>
      <c r="O19">
        <v>0</v>
      </c>
      <c r="P19">
        <v>0</v>
      </c>
      <c r="Q19">
        <v>1.7369087218039511E-17</v>
      </c>
      <c r="R19">
        <v>0</v>
      </c>
      <c r="S19">
        <v>2.3897399570714129E-17</v>
      </c>
      <c r="T19">
        <v>1.106074707129831E-17</v>
      </c>
      <c r="U19">
        <v>0</v>
      </c>
      <c r="V19">
        <v>0</v>
      </c>
      <c r="W19">
        <v>0.50572005487920157</v>
      </c>
      <c r="X19">
        <v>0</v>
      </c>
      <c r="Y19">
        <v>0</v>
      </c>
    </row>
    <row r="20" spans="1:25" x14ac:dyDescent="0.35">
      <c r="A20" s="4">
        <v>44742</v>
      </c>
      <c r="B20">
        <v>0.48345593174923929</v>
      </c>
      <c r="C20">
        <v>0</v>
      </c>
      <c r="D20">
        <v>0</v>
      </c>
      <c r="E20">
        <v>3.105337975000597E-2</v>
      </c>
      <c r="F20">
        <v>0</v>
      </c>
      <c r="G20">
        <v>2.5553494746375271E-17</v>
      </c>
      <c r="H20">
        <v>8.5704490331164357E-18</v>
      </c>
      <c r="I20">
        <v>3.4971314557459172E-17</v>
      </c>
      <c r="J20">
        <v>0</v>
      </c>
      <c r="K20">
        <v>3.9476629850006492E-17</v>
      </c>
      <c r="L20">
        <v>1.435660002939077E-18</v>
      </c>
      <c r="M20">
        <v>0</v>
      </c>
      <c r="N20">
        <v>1.125831989847805E-17</v>
      </c>
      <c r="O20">
        <v>0</v>
      </c>
      <c r="P20">
        <v>5.7463339123519663E-18</v>
      </c>
      <c r="Q20">
        <v>7.6649502779573203E-18</v>
      </c>
      <c r="R20">
        <v>1.7574828554882861E-17</v>
      </c>
      <c r="S20">
        <v>0</v>
      </c>
      <c r="T20">
        <v>0</v>
      </c>
      <c r="U20">
        <v>1.5213638966172999E-17</v>
      </c>
      <c r="V20">
        <v>0</v>
      </c>
      <c r="W20">
        <v>0.48549068850075477</v>
      </c>
      <c r="X20">
        <v>1.2858992564489529E-18</v>
      </c>
      <c r="Y20">
        <v>0</v>
      </c>
    </row>
    <row r="21" spans="1:25" x14ac:dyDescent="0.35">
      <c r="A21" s="4">
        <v>44771</v>
      </c>
      <c r="B21">
        <v>0.45652711700210191</v>
      </c>
      <c r="C21">
        <v>0</v>
      </c>
      <c r="D21">
        <v>9.2191853143542631E-17</v>
      </c>
      <c r="E21">
        <v>4.1418339863851517E-2</v>
      </c>
      <c r="F21">
        <v>1.66452605803634E-3</v>
      </c>
      <c r="G21">
        <v>0</v>
      </c>
      <c r="H21">
        <v>0</v>
      </c>
      <c r="I21">
        <v>0</v>
      </c>
      <c r="J21">
        <v>1.005358227245883E-17</v>
      </c>
      <c r="K21">
        <v>0</v>
      </c>
      <c r="L21">
        <v>2.4389688852665712E-18</v>
      </c>
      <c r="M21">
        <v>0</v>
      </c>
      <c r="N21">
        <v>9.7445946976762894E-18</v>
      </c>
      <c r="O21">
        <v>1.281316136536763E-17</v>
      </c>
      <c r="P21">
        <v>9.6668798556889687E-18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0.50039001707601038</v>
      </c>
      <c r="X21">
        <v>0</v>
      </c>
      <c r="Y21">
        <v>3.0507081122483177E-17</v>
      </c>
    </row>
    <row r="22" spans="1:25" x14ac:dyDescent="0.35">
      <c r="A22" s="4">
        <v>44804</v>
      </c>
      <c r="B22">
        <v>0.41306513751621038</v>
      </c>
      <c r="C22">
        <v>6.8104083587926115E-17</v>
      </c>
      <c r="D22">
        <v>0</v>
      </c>
      <c r="E22">
        <v>6.3385816172649628E-2</v>
      </c>
      <c r="F22">
        <v>6.5359438539548142E-18</v>
      </c>
      <c r="G22">
        <v>0</v>
      </c>
      <c r="H22">
        <v>2.5152796184257951E-17</v>
      </c>
      <c r="I22">
        <v>0</v>
      </c>
      <c r="J22">
        <v>1.045086536722891E-17</v>
      </c>
      <c r="K22">
        <v>1.6026644149066519E-17</v>
      </c>
      <c r="L22">
        <v>0</v>
      </c>
      <c r="M22">
        <v>1.4618437352143679E-17</v>
      </c>
      <c r="N22">
        <v>0</v>
      </c>
      <c r="O22">
        <v>2.100167767550821E-18</v>
      </c>
      <c r="P22">
        <v>0</v>
      </c>
      <c r="Q22">
        <v>1.190013798095285E-18</v>
      </c>
      <c r="R22">
        <v>0</v>
      </c>
      <c r="S22">
        <v>1.492191807973306E-17</v>
      </c>
      <c r="T22">
        <v>1.73273472251887E-18</v>
      </c>
      <c r="U22">
        <v>4.4182156326552037E-18</v>
      </c>
      <c r="V22">
        <v>2.314326159847802E-17</v>
      </c>
      <c r="W22">
        <v>0.52354904631114008</v>
      </c>
      <c r="X22">
        <v>0</v>
      </c>
      <c r="Y22">
        <v>0</v>
      </c>
    </row>
    <row r="23" spans="1:25" x14ac:dyDescent="0.35">
      <c r="A23" s="4">
        <v>44834</v>
      </c>
      <c r="B23">
        <v>0.39972216554779361</v>
      </c>
      <c r="C23">
        <v>0</v>
      </c>
      <c r="D23">
        <v>0</v>
      </c>
      <c r="E23">
        <v>6.8261695951254836E-2</v>
      </c>
      <c r="F23">
        <v>9.356923983801111E-17</v>
      </c>
      <c r="G23">
        <v>0</v>
      </c>
      <c r="H23">
        <v>0</v>
      </c>
      <c r="I23">
        <v>4.5414686879434152E-17</v>
      </c>
      <c r="J23">
        <v>0</v>
      </c>
      <c r="K23">
        <v>0</v>
      </c>
      <c r="L23">
        <v>4.0329348409878221E-3</v>
      </c>
      <c r="M23">
        <v>0</v>
      </c>
      <c r="N23">
        <v>4.440069249724857E-18</v>
      </c>
      <c r="O23">
        <v>0</v>
      </c>
      <c r="P23">
        <v>2.5437843030411991E-18</v>
      </c>
      <c r="Q23">
        <v>0</v>
      </c>
      <c r="R23">
        <v>0</v>
      </c>
      <c r="S23">
        <v>2.0150855530436089E-18</v>
      </c>
      <c r="T23">
        <v>9.6906262088009548E-18</v>
      </c>
      <c r="U23">
        <v>0</v>
      </c>
      <c r="V23">
        <v>0</v>
      </c>
      <c r="W23">
        <v>0.52798320365996376</v>
      </c>
      <c r="X23">
        <v>0</v>
      </c>
      <c r="Y23">
        <v>0</v>
      </c>
    </row>
    <row r="24" spans="1:25" x14ac:dyDescent="0.35">
      <c r="A24" s="4">
        <v>44865</v>
      </c>
      <c r="B24">
        <v>0.43464271305184182</v>
      </c>
      <c r="C24">
        <v>0</v>
      </c>
      <c r="D24">
        <v>0</v>
      </c>
      <c r="E24">
        <v>8.2130714283817235E-4</v>
      </c>
      <c r="F24">
        <v>4.3414406479351338E-17</v>
      </c>
      <c r="G24">
        <v>0</v>
      </c>
      <c r="H24">
        <v>0</v>
      </c>
      <c r="I24">
        <v>0</v>
      </c>
      <c r="J24">
        <v>0</v>
      </c>
      <c r="K24">
        <v>4.707093320629927E-19</v>
      </c>
      <c r="L24">
        <v>0</v>
      </c>
      <c r="M24">
        <v>2.5456940122573939E-17</v>
      </c>
      <c r="N24">
        <v>0</v>
      </c>
      <c r="O24">
        <v>0</v>
      </c>
      <c r="P24">
        <v>0</v>
      </c>
      <c r="Q24">
        <v>2.102686350889995E-2</v>
      </c>
      <c r="R24">
        <v>0</v>
      </c>
      <c r="S24">
        <v>0</v>
      </c>
      <c r="T24">
        <v>0</v>
      </c>
      <c r="U24">
        <v>2.9898699545365707E-17</v>
      </c>
      <c r="V24">
        <v>0</v>
      </c>
      <c r="W24">
        <v>0.54350911629642018</v>
      </c>
      <c r="X24">
        <v>0</v>
      </c>
      <c r="Y24">
        <v>0</v>
      </c>
    </row>
    <row r="25" spans="1:25" x14ac:dyDescent="0.35">
      <c r="A25" s="4">
        <v>44895</v>
      </c>
      <c r="B25">
        <v>0.4113203160673527</v>
      </c>
      <c r="C25">
        <v>6.5081447180053811E-18</v>
      </c>
      <c r="D25">
        <v>3.6702305348384458E-17</v>
      </c>
      <c r="E25">
        <v>1.3481368865211131E-2</v>
      </c>
      <c r="F25">
        <v>0</v>
      </c>
      <c r="G25">
        <v>0</v>
      </c>
      <c r="H25">
        <v>5.3072035127236699E-3</v>
      </c>
      <c r="I25">
        <v>0</v>
      </c>
      <c r="J25">
        <v>6.4835794245015377E-18</v>
      </c>
      <c r="K25">
        <v>1.2342654294148649E-17</v>
      </c>
      <c r="L25">
        <v>5.7730084159472294E-3</v>
      </c>
      <c r="M25">
        <v>3.7584461842009587E-18</v>
      </c>
      <c r="N25">
        <v>0</v>
      </c>
      <c r="O25">
        <v>0</v>
      </c>
      <c r="P25">
        <v>0</v>
      </c>
      <c r="Q25">
        <v>9.9812293428061805E-3</v>
      </c>
      <c r="R25">
        <v>1.4363953515144581E-17</v>
      </c>
      <c r="S25">
        <v>0</v>
      </c>
      <c r="T25">
        <v>0</v>
      </c>
      <c r="U25">
        <v>2.1318613544980392E-17</v>
      </c>
      <c r="V25">
        <v>0</v>
      </c>
      <c r="W25">
        <v>0.55413687379595922</v>
      </c>
      <c r="X25">
        <v>1.9326181719044521E-17</v>
      </c>
      <c r="Y25">
        <v>2.0650450315252711E-17</v>
      </c>
    </row>
    <row r="26" spans="1:25" x14ac:dyDescent="0.35">
      <c r="A26" s="4">
        <v>44925</v>
      </c>
      <c r="B26">
        <v>0.39745500866968758</v>
      </c>
      <c r="C26">
        <v>0</v>
      </c>
      <c r="D26">
        <v>0</v>
      </c>
      <c r="E26">
        <v>0</v>
      </c>
      <c r="F26">
        <v>0</v>
      </c>
      <c r="G26">
        <v>0</v>
      </c>
      <c r="H26">
        <v>8.9025804360328559E-3</v>
      </c>
      <c r="I26">
        <v>2.4534771702705169E-17</v>
      </c>
      <c r="J26">
        <v>0</v>
      </c>
      <c r="K26">
        <v>0</v>
      </c>
      <c r="L26">
        <v>1.5089553550861371E-2</v>
      </c>
      <c r="M26">
        <v>0</v>
      </c>
      <c r="N26">
        <v>0</v>
      </c>
      <c r="O26">
        <v>1.730978183149348E-17</v>
      </c>
      <c r="P26">
        <v>1.3983442244140929E-17</v>
      </c>
      <c r="Q26">
        <v>1.7823785370439809E-2</v>
      </c>
      <c r="R26">
        <v>7.9615018406498377E-18</v>
      </c>
      <c r="S26">
        <v>0</v>
      </c>
      <c r="T26">
        <v>0</v>
      </c>
      <c r="U26">
        <v>2.1885148784021751E-18</v>
      </c>
      <c r="V26">
        <v>1.064727719925534E-17</v>
      </c>
      <c r="W26">
        <v>0.5607290719729785</v>
      </c>
      <c r="X26">
        <v>7.5268406624348021E-18</v>
      </c>
      <c r="Y26">
        <v>1.7908870885427021E-17</v>
      </c>
    </row>
    <row r="27" spans="1:25" x14ac:dyDescent="0.35">
      <c r="A27" s="4">
        <v>44957</v>
      </c>
      <c r="B27">
        <v>0.403873998743419</v>
      </c>
      <c r="C27">
        <v>2.6999982001607151E-17</v>
      </c>
      <c r="D27">
        <v>4.7919717200561699E-17</v>
      </c>
      <c r="E27">
        <v>0</v>
      </c>
      <c r="F27">
        <v>1.904514909689975E-18</v>
      </c>
      <c r="G27">
        <v>4.5656009080454888E-18</v>
      </c>
      <c r="H27">
        <v>2.2622630575429788E-2</v>
      </c>
      <c r="I27">
        <v>8.3319071294616233E-18</v>
      </c>
      <c r="J27">
        <v>1.878305000048514E-17</v>
      </c>
      <c r="K27">
        <v>8.5424099726561719E-18</v>
      </c>
      <c r="L27">
        <v>1.600677087705588E-3</v>
      </c>
      <c r="M27">
        <v>1.538218446372407E-18</v>
      </c>
      <c r="N27">
        <v>7.8090383992785334E-18</v>
      </c>
      <c r="O27">
        <v>1.0410441620795389E-17</v>
      </c>
      <c r="P27">
        <v>0</v>
      </c>
      <c r="Q27">
        <v>1.155917048096234E-2</v>
      </c>
      <c r="R27">
        <v>3.836965210554552E-18</v>
      </c>
      <c r="S27">
        <v>0</v>
      </c>
      <c r="T27">
        <v>0</v>
      </c>
      <c r="U27">
        <v>0</v>
      </c>
      <c r="V27">
        <v>0</v>
      </c>
      <c r="W27">
        <v>0.56034352311248337</v>
      </c>
      <c r="X27">
        <v>0</v>
      </c>
      <c r="Y27">
        <v>0</v>
      </c>
    </row>
    <row r="28" spans="1:25" x14ac:dyDescent="0.35">
      <c r="A28" s="4">
        <v>44985</v>
      </c>
      <c r="B28">
        <v>0.40260311180610919</v>
      </c>
      <c r="C28">
        <v>1.5324746183137509E-17</v>
      </c>
      <c r="D28">
        <v>0</v>
      </c>
      <c r="E28">
        <v>1.116220576084619E-18</v>
      </c>
      <c r="F28">
        <v>1.0083289198829931E-17</v>
      </c>
      <c r="G28">
        <v>0</v>
      </c>
      <c r="H28">
        <v>1.7458479701671688E-2</v>
      </c>
      <c r="I28">
        <v>0</v>
      </c>
      <c r="J28">
        <v>0</v>
      </c>
      <c r="K28">
        <v>0</v>
      </c>
      <c r="L28">
        <v>0</v>
      </c>
      <c r="M28">
        <v>2.1239502652371539E-17</v>
      </c>
      <c r="N28">
        <v>0</v>
      </c>
      <c r="O28">
        <v>1.6861396146700559E-17</v>
      </c>
      <c r="P28">
        <v>0</v>
      </c>
      <c r="Q28">
        <v>2.191548068418955E-2</v>
      </c>
      <c r="R28">
        <v>8.3384800596313514E-18</v>
      </c>
      <c r="S28">
        <v>3.7595006350805367E-18</v>
      </c>
      <c r="T28">
        <v>0</v>
      </c>
      <c r="U28">
        <v>0</v>
      </c>
      <c r="V28">
        <v>0</v>
      </c>
      <c r="W28">
        <v>0.55802292780802976</v>
      </c>
      <c r="X28">
        <v>1.105318091015592E-17</v>
      </c>
      <c r="Y28">
        <v>1.4974952498102659E-17</v>
      </c>
    </row>
    <row r="29" spans="1:25" x14ac:dyDescent="0.35">
      <c r="A29" s="4">
        <v>45016</v>
      </c>
      <c r="B29">
        <v>0.38548440718765969</v>
      </c>
      <c r="C29">
        <v>0</v>
      </c>
      <c r="D29">
        <v>0</v>
      </c>
      <c r="E29">
        <v>3.10733805217679E-17</v>
      </c>
      <c r="F29">
        <v>2.0172271335499411E-17</v>
      </c>
      <c r="G29">
        <v>0</v>
      </c>
      <c r="H29">
        <v>2.1901574318591799E-2</v>
      </c>
      <c r="I29">
        <v>1.1253313848238951E-17</v>
      </c>
      <c r="J29">
        <v>8.3524604704746335E-18</v>
      </c>
      <c r="K29">
        <v>0</v>
      </c>
      <c r="L29">
        <v>8.7291845908880818E-4</v>
      </c>
      <c r="M29">
        <v>0</v>
      </c>
      <c r="N29">
        <v>3.0245646695056581E-19</v>
      </c>
      <c r="O29">
        <v>8.5593295557920263E-18</v>
      </c>
      <c r="P29">
        <v>0</v>
      </c>
      <c r="Q29">
        <v>6.2618999091275857E-2</v>
      </c>
      <c r="R29">
        <v>3.0509417861146398E-17</v>
      </c>
      <c r="S29">
        <v>0</v>
      </c>
      <c r="T29">
        <v>4.2797455109314634E-18</v>
      </c>
      <c r="U29">
        <v>0</v>
      </c>
      <c r="V29">
        <v>7.1959309380335667E-18</v>
      </c>
      <c r="W29">
        <v>0.52912210094338397</v>
      </c>
      <c r="X29">
        <v>1.8538705907238519E-17</v>
      </c>
      <c r="Y29">
        <v>0</v>
      </c>
    </row>
    <row r="30" spans="1:25" x14ac:dyDescent="0.35">
      <c r="A30" s="4">
        <v>45044</v>
      </c>
      <c r="B30">
        <v>0.31953778491637608</v>
      </c>
      <c r="C30">
        <v>1.5702432758664771E-17</v>
      </c>
      <c r="D30">
        <v>0</v>
      </c>
      <c r="E30">
        <v>2.4901617581378999E-17</v>
      </c>
      <c r="F30">
        <v>9.1313109998501605E-18</v>
      </c>
      <c r="G30">
        <v>0</v>
      </c>
      <c r="H30">
        <v>1.420915513891265E-2</v>
      </c>
      <c r="I30">
        <v>0.1449750198788497</v>
      </c>
      <c r="J30">
        <v>2.8884077124445529E-18</v>
      </c>
      <c r="K30">
        <v>0</v>
      </c>
      <c r="L30">
        <v>6.760216037874891E-3</v>
      </c>
      <c r="M30">
        <v>1.221943343266919E-17</v>
      </c>
      <c r="N30">
        <v>0</v>
      </c>
      <c r="O30">
        <v>0</v>
      </c>
      <c r="P30">
        <v>0</v>
      </c>
      <c r="Q30">
        <v>2.9966968458568691E-18</v>
      </c>
      <c r="R30">
        <v>2.3872046208189169E-17</v>
      </c>
      <c r="S30">
        <v>2.945081423287009E-17</v>
      </c>
      <c r="T30">
        <v>4.1872386502009688E-17</v>
      </c>
      <c r="U30">
        <v>0</v>
      </c>
      <c r="V30">
        <v>6.7163099876750044E-18</v>
      </c>
      <c r="W30">
        <v>0.49591969528338492</v>
      </c>
      <c r="X30">
        <v>1.8598128744601549E-2</v>
      </c>
      <c r="Y30">
        <v>0</v>
      </c>
    </row>
    <row r="31" spans="1:25" x14ac:dyDescent="0.35">
      <c r="A31" s="4">
        <v>45077</v>
      </c>
      <c r="B31">
        <v>0.26995839194724458</v>
      </c>
      <c r="C31">
        <v>7.4025914940902991E-18</v>
      </c>
      <c r="D31">
        <v>0</v>
      </c>
      <c r="E31">
        <v>0</v>
      </c>
      <c r="F31">
        <v>7.8573494201276934E-18</v>
      </c>
      <c r="G31">
        <v>0</v>
      </c>
      <c r="H31">
        <v>2.0737049803953651E-2</v>
      </c>
      <c r="I31">
        <v>0.12500167026433631</v>
      </c>
      <c r="J31">
        <v>0</v>
      </c>
      <c r="K31">
        <v>1.840027362833143E-18</v>
      </c>
      <c r="L31">
        <v>0</v>
      </c>
      <c r="M31">
        <v>0</v>
      </c>
      <c r="N31">
        <v>0</v>
      </c>
      <c r="O31">
        <v>3.3979262597210321E-18</v>
      </c>
      <c r="P31">
        <v>1.552807979046264E-17</v>
      </c>
      <c r="Q31">
        <v>0</v>
      </c>
      <c r="R31">
        <v>0</v>
      </c>
      <c r="S31">
        <v>2.146801590868443E-2</v>
      </c>
      <c r="T31">
        <v>3.6343277783328187E-2</v>
      </c>
      <c r="U31">
        <v>0</v>
      </c>
      <c r="V31">
        <v>8.8749803712550451E-3</v>
      </c>
      <c r="W31">
        <v>0.46397874107090431</v>
      </c>
      <c r="X31">
        <v>1.9861836359489581E-2</v>
      </c>
      <c r="Y31">
        <v>3.3776036490804233E-2</v>
      </c>
    </row>
    <row r="32" spans="1:25" x14ac:dyDescent="0.35">
      <c r="A32" s="4">
        <v>45107</v>
      </c>
      <c r="B32">
        <v>0.23164081326247801</v>
      </c>
      <c r="C32">
        <v>1.4266549456505521E-2</v>
      </c>
      <c r="D32">
        <v>1.2484059405189829E-17</v>
      </c>
      <c r="E32">
        <v>0</v>
      </c>
      <c r="F32">
        <v>9.8468244538017387E-18</v>
      </c>
      <c r="G32">
        <v>1.132208610487511E-17</v>
      </c>
      <c r="H32">
        <v>2.318264365584799E-2</v>
      </c>
      <c r="I32">
        <v>7.9161457292922816E-2</v>
      </c>
      <c r="J32">
        <v>4.3264152463006238E-2</v>
      </c>
      <c r="K32">
        <v>0</v>
      </c>
      <c r="L32">
        <v>0</v>
      </c>
      <c r="M32">
        <v>0</v>
      </c>
      <c r="N32">
        <v>1.9091979434973959E-18</v>
      </c>
      <c r="O32">
        <v>1.6099756644128559E-2</v>
      </c>
      <c r="P32">
        <v>2.234458595243048E-18</v>
      </c>
      <c r="Q32">
        <v>0</v>
      </c>
      <c r="R32">
        <v>0</v>
      </c>
      <c r="S32">
        <v>3.4078628607135363E-2</v>
      </c>
      <c r="T32">
        <v>3.0398134643588079E-2</v>
      </c>
      <c r="U32">
        <v>2.423355332082117E-2</v>
      </c>
      <c r="V32">
        <v>2.1045652216909721E-2</v>
      </c>
      <c r="W32">
        <v>0.40053038273791203</v>
      </c>
      <c r="X32">
        <v>2.4452314071135319E-2</v>
      </c>
      <c r="Y32">
        <v>5.7645961627609293E-2</v>
      </c>
    </row>
    <row r="33" spans="1:25" x14ac:dyDescent="0.35">
      <c r="A33" s="4">
        <v>45138</v>
      </c>
      <c r="B33">
        <v>0.24587270365339101</v>
      </c>
      <c r="C33">
        <v>7.7423674883138173E-3</v>
      </c>
      <c r="D33">
        <v>3.466697225113394E-18</v>
      </c>
      <c r="E33">
        <v>1.190027697609685E-18</v>
      </c>
      <c r="F33">
        <v>0</v>
      </c>
      <c r="G33">
        <v>0</v>
      </c>
      <c r="H33">
        <v>2.5326511998372169E-2</v>
      </c>
      <c r="I33">
        <v>0.1012848837812486</v>
      </c>
      <c r="J33">
        <v>3.1594432523738773E-2</v>
      </c>
      <c r="K33">
        <v>0</v>
      </c>
      <c r="L33">
        <v>1.285074948363289E-17</v>
      </c>
      <c r="M33">
        <v>4.8514125077826002E-19</v>
      </c>
      <c r="N33">
        <v>5.8668491371940837E-4</v>
      </c>
      <c r="O33">
        <v>2.7073322551314991E-2</v>
      </c>
      <c r="P33">
        <v>0</v>
      </c>
      <c r="Q33">
        <v>0</v>
      </c>
      <c r="R33">
        <v>0</v>
      </c>
      <c r="S33">
        <v>2.9022650316250329E-2</v>
      </c>
      <c r="T33">
        <v>4.341621578294011E-2</v>
      </c>
      <c r="U33">
        <v>5.581328458089367E-4</v>
      </c>
      <c r="V33">
        <v>1.1662557568613939E-2</v>
      </c>
      <c r="W33">
        <v>0.42190419683359381</v>
      </c>
      <c r="X33">
        <v>1.816759870695632E-2</v>
      </c>
      <c r="Y33">
        <v>3.5787741035737793E-2</v>
      </c>
    </row>
    <row r="34" spans="1:25" x14ac:dyDescent="0.35">
      <c r="A34" s="4">
        <v>45169</v>
      </c>
      <c r="B34">
        <v>0.23226889315015481</v>
      </c>
      <c r="C34">
        <v>3.024261888777293E-2</v>
      </c>
      <c r="D34">
        <v>4.6646722263669387E-18</v>
      </c>
      <c r="E34">
        <v>6.7517614084015347E-18</v>
      </c>
      <c r="F34">
        <v>6.3683428163985362E-18</v>
      </c>
      <c r="G34">
        <v>1.20813164490208E-18</v>
      </c>
      <c r="H34">
        <v>2.937566325862033E-2</v>
      </c>
      <c r="I34">
        <v>6.7868523617666224E-2</v>
      </c>
      <c r="J34">
        <v>3.737713916019679E-2</v>
      </c>
      <c r="K34">
        <v>6.6433411911529843E-18</v>
      </c>
      <c r="L34">
        <v>8.5252596713985877E-18</v>
      </c>
      <c r="M34">
        <v>0</v>
      </c>
      <c r="N34">
        <v>2.7850656869438957E-4</v>
      </c>
      <c r="O34">
        <v>3.3671637310975222E-2</v>
      </c>
      <c r="P34">
        <v>0</v>
      </c>
      <c r="Q34">
        <v>2.2754796152657569E-18</v>
      </c>
      <c r="R34">
        <v>1.8205878474719269E-2</v>
      </c>
      <c r="S34">
        <v>1.192242881059743E-2</v>
      </c>
      <c r="T34">
        <v>1.8847432356927801E-2</v>
      </c>
      <c r="U34">
        <v>4.0671226772367411E-2</v>
      </c>
      <c r="V34">
        <v>1.174204402145391E-2</v>
      </c>
      <c r="W34">
        <v>0.37909722155893349</v>
      </c>
      <c r="X34">
        <v>1.166132802680535E-2</v>
      </c>
      <c r="Y34">
        <v>7.6769458024114778E-2</v>
      </c>
    </row>
    <row r="35" spans="1:25" x14ac:dyDescent="0.35">
      <c r="A35" s="4">
        <v>45198</v>
      </c>
      <c r="B35">
        <v>0.22019941914848651</v>
      </c>
      <c r="C35">
        <v>4.3205171709541239E-2</v>
      </c>
      <c r="D35">
        <v>1.8680878302189269E-17</v>
      </c>
      <c r="E35">
        <v>2.2891427107645241E-3</v>
      </c>
      <c r="F35">
        <v>0</v>
      </c>
      <c r="G35">
        <v>1.6783524500339631E-17</v>
      </c>
      <c r="H35">
        <v>2.5935738599367059E-2</v>
      </c>
      <c r="I35">
        <v>4.7481874900120007E-2</v>
      </c>
      <c r="J35">
        <v>5.3076989691816609E-2</v>
      </c>
      <c r="K35">
        <v>2.247288248764987E-18</v>
      </c>
      <c r="L35">
        <v>0</v>
      </c>
      <c r="M35">
        <v>1.4804855535553591E-17</v>
      </c>
      <c r="N35">
        <v>3.6679996924286421E-3</v>
      </c>
      <c r="O35">
        <v>3.1989929168175932E-2</v>
      </c>
      <c r="P35">
        <v>4.2379645090971768E-18</v>
      </c>
      <c r="Q35">
        <v>1.0937782088892139E-18</v>
      </c>
      <c r="R35">
        <v>2.2625529966337651E-2</v>
      </c>
      <c r="S35">
        <v>3.4445303627033609E-2</v>
      </c>
      <c r="T35">
        <v>3.8536628075648421E-3</v>
      </c>
      <c r="U35">
        <v>6.8742715932166132E-2</v>
      </c>
      <c r="V35">
        <v>0</v>
      </c>
      <c r="W35">
        <v>0.3360086472965072</v>
      </c>
      <c r="X35">
        <v>1.2349063305109251E-2</v>
      </c>
      <c r="Y35">
        <v>9.4128811444580934E-2</v>
      </c>
    </row>
    <row r="36" spans="1:25" x14ac:dyDescent="0.35">
      <c r="A36" s="4">
        <v>45230</v>
      </c>
      <c r="B36">
        <v>0.23790454142292719</v>
      </c>
      <c r="C36">
        <v>4.3774352224291019E-2</v>
      </c>
      <c r="D36">
        <v>0</v>
      </c>
      <c r="E36">
        <v>4.09524975020615E-4</v>
      </c>
      <c r="F36">
        <v>1.4762465755198871E-17</v>
      </c>
      <c r="G36">
        <v>0</v>
      </c>
      <c r="H36">
        <v>2.3386242154564699E-2</v>
      </c>
      <c r="I36">
        <v>8.473232312565053E-2</v>
      </c>
      <c r="J36">
        <v>3.0705161226514489E-2</v>
      </c>
      <c r="K36">
        <v>1.081509833621376E-3</v>
      </c>
      <c r="L36">
        <v>0</v>
      </c>
      <c r="M36">
        <v>0</v>
      </c>
      <c r="N36">
        <v>0</v>
      </c>
      <c r="O36">
        <v>2.950230848321915E-2</v>
      </c>
      <c r="P36">
        <v>0</v>
      </c>
      <c r="Q36">
        <v>0</v>
      </c>
      <c r="R36">
        <v>2.8032520434760261E-2</v>
      </c>
      <c r="S36">
        <v>2.9588020975931321E-2</v>
      </c>
      <c r="T36">
        <v>4.9058213969071004E-3</v>
      </c>
      <c r="U36">
        <v>6.3128780438104368E-2</v>
      </c>
      <c r="V36">
        <v>2.2361669807513529E-18</v>
      </c>
      <c r="W36">
        <v>0.36636040574536832</v>
      </c>
      <c r="X36">
        <v>1.4272655451637349E-2</v>
      </c>
      <c r="Y36">
        <v>4.2215832111482367E-2</v>
      </c>
    </row>
    <row r="37" spans="1:25" x14ac:dyDescent="0.35">
      <c r="A37" s="4">
        <v>45260</v>
      </c>
      <c r="B37">
        <v>0.24427884184146589</v>
      </c>
      <c r="C37">
        <v>6.1874990755323059E-2</v>
      </c>
      <c r="D37">
        <v>0</v>
      </c>
      <c r="E37">
        <v>9.7023983160925264E-3</v>
      </c>
      <c r="F37">
        <v>0</v>
      </c>
      <c r="G37">
        <v>0</v>
      </c>
      <c r="H37">
        <v>1.2921656708153151E-2</v>
      </c>
      <c r="I37">
        <v>8.3303109301199427E-2</v>
      </c>
      <c r="J37">
        <v>2.5129126239239481E-2</v>
      </c>
      <c r="K37">
        <v>3.624186567505194E-3</v>
      </c>
      <c r="L37">
        <v>1.3518120018034001E-18</v>
      </c>
      <c r="M37">
        <v>3.510202933470955E-18</v>
      </c>
      <c r="N37">
        <v>8.5439433067945846E-3</v>
      </c>
      <c r="O37">
        <v>3.0538724473899121E-2</v>
      </c>
      <c r="P37">
        <v>6.0851830931240272E-18</v>
      </c>
      <c r="Q37">
        <v>5.3484270850319687E-4</v>
      </c>
      <c r="R37">
        <v>2.0310520401959391E-2</v>
      </c>
      <c r="S37">
        <v>2.0839378763862201E-2</v>
      </c>
      <c r="T37">
        <v>7.3790993188241399E-3</v>
      </c>
      <c r="U37">
        <v>5.7291173443227317E-2</v>
      </c>
      <c r="V37">
        <v>2.954450920023E-18</v>
      </c>
      <c r="W37">
        <v>0.35094350028755311</v>
      </c>
      <c r="X37">
        <v>2.1795560926823519E-2</v>
      </c>
      <c r="Y37">
        <v>4.0988946639574753E-2</v>
      </c>
    </row>
    <row r="38" spans="1:25" x14ac:dyDescent="0.35">
      <c r="A38" s="4">
        <v>45289</v>
      </c>
      <c r="B38">
        <v>0.22476832304882291</v>
      </c>
      <c r="C38">
        <v>6.9013764397873822E-2</v>
      </c>
      <c r="D38">
        <v>0</v>
      </c>
      <c r="E38">
        <v>1.8916688011338771E-2</v>
      </c>
      <c r="F38">
        <v>2.8575944010803871E-17</v>
      </c>
      <c r="G38">
        <v>1.9059781137809931E-2</v>
      </c>
      <c r="H38">
        <v>7.8716659751550296E-3</v>
      </c>
      <c r="I38">
        <v>6.4828183861760341E-2</v>
      </c>
      <c r="J38">
        <v>2.307883093269111E-2</v>
      </c>
      <c r="K38">
        <v>1.6474349139419999E-2</v>
      </c>
      <c r="L38">
        <v>0</v>
      </c>
      <c r="M38">
        <v>2.564284363993025E-18</v>
      </c>
      <c r="N38">
        <v>1.975796210212296E-2</v>
      </c>
      <c r="O38">
        <v>2.053032740992242E-2</v>
      </c>
      <c r="P38">
        <v>8.7272960882153154E-18</v>
      </c>
      <c r="Q38">
        <v>4.1017438754017612E-3</v>
      </c>
      <c r="R38">
        <v>2.1946249882917358E-2</v>
      </c>
      <c r="S38">
        <v>2.4435407525021251E-2</v>
      </c>
      <c r="T38">
        <v>6.5397662102263249E-3</v>
      </c>
      <c r="U38">
        <v>6.9427454200816502E-2</v>
      </c>
      <c r="V38">
        <v>0</v>
      </c>
      <c r="W38">
        <v>0.31939149002012279</v>
      </c>
      <c r="X38">
        <v>1.5432658098711329E-2</v>
      </c>
      <c r="Y38">
        <v>5.4425354169865429E-2</v>
      </c>
    </row>
    <row r="39" spans="1:25" x14ac:dyDescent="0.35">
      <c r="A39" s="4">
        <v>45322</v>
      </c>
      <c r="B39">
        <v>0.23027955106029599</v>
      </c>
      <c r="C39">
        <v>7.2370742769532759E-2</v>
      </c>
      <c r="D39">
        <v>1.1211065485514901E-18</v>
      </c>
      <c r="E39">
        <v>2.3199725614229338E-2</v>
      </c>
      <c r="F39">
        <v>0</v>
      </c>
      <c r="G39">
        <v>1.762933441342859E-2</v>
      </c>
      <c r="H39">
        <v>1.0208345697162819E-2</v>
      </c>
      <c r="I39">
        <v>7.3099876820823612E-2</v>
      </c>
      <c r="J39">
        <v>1.7383400693770871E-2</v>
      </c>
      <c r="K39">
        <v>1.3255062025316041E-2</v>
      </c>
      <c r="L39">
        <v>0</v>
      </c>
      <c r="M39">
        <v>6.9799462916408505E-18</v>
      </c>
      <c r="N39">
        <v>1.7944634511792599E-2</v>
      </c>
      <c r="O39">
        <v>1.9481248864782981E-2</v>
      </c>
      <c r="P39">
        <v>6.474354775198668E-18</v>
      </c>
      <c r="Q39">
        <v>2.38245390150367E-3</v>
      </c>
      <c r="R39">
        <v>2.234234126694391E-2</v>
      </c>
      <c r="S39">
        <v>2.2964365338981101E-2</v>
      </c>
      <c r="T39">
        <v>0</v>
      </c>
      <c r="U39">
        <v>7.8844430609362498E-2</v>
      </c>
      <c r="V39">
        <v>2.283600825797594E-17</v>
      </c>
      <c r="W39">
        <v>0.30373668064123049</v>
      </c>
      <c r="X39">
        <v>2.45538745909798E-2</v>
      </c>
      <c r="Y39">
        <v>5.032393117986278E-2</v>
      </c>
    </row>
    <row r="40" spans="1:25" x14ac:dyDescent="0.35">
      <c r="A40" s="4">
        <v>45351</v>
      </c>
      <c r="B40">
        <v>0.22452979637079609</v>
      </c>
      <c r="C40">
        <v>7.5085022863338E-2</v>
      </c>
      <c r="D40">
        <v>0</v>
      </c>
      <c r="E40">
        <v>2.7618568720081321E-2</v>
      </c>
      <c r="F40">
        <v>1.7473062533000299E-17</v>
      </c>
      <c r="G40">
        <v>2.7049752649180969E-2</v>
      </c>
      <c r="H40">
        <v>1.6843655666141759E-2</v>
      </c>
      <c r="I40">
        <v>6.8248804142632888E-2</v>
      </c>
      <c r="J40">
        <v>6.4301136075861024E-3</v>
      </c>
      <c r="K40">
        <v>6.4802820921830741E-3</v>
      </c>
      <c r="L40">
        <v>0</v>
      </c>
      <c r="M40">
        <v>0</v>
      </c>
      <c r="N40">
        <v>2.2700810512185959E-2</v>
      </c>
      <c r="O40">
        <v>1.5746433507764369E-2</v>
      </c>
      <c r="P40">
        <v>0</v>
      </c>
      <c r="Q40">
        <v>5.1306060964301341E-3</v>
      </c>
      <c r="R40">
        <v>2.188296821540903E-2</v>
      </c>
      <c r="S40">
        <v>1.940876924630373E-2</v>
      </c>
      <c r="T40">
        <v>1.257674520083185E-17</v>
      </c>
      <c r="U40">
        <v>8.6811799680583598E-2</v>
      </c>
      <c r="V40">
        <v>1.156369379591571E-17</v>
      </c>
      <c r="W40">
        <v>0.29385655720154691</v>
      </c>
      <c r="X40">
        <v>2.713191198117413E-2</v>
      </c>
      <c r="Y40">
        <v>5.5044147446661959E-2</v>
      </c>
    </row>
    <row r="41" spans="1:25" x14ac:dyDescent="0.35">
      <c r="A41" s="4">
        <v>45379</v>
      </c>
      <c r="B41">
        <v>0.23649457518918271</v>
      </c>
      <c r="C41">
        <v>5.4932706421608989E-2</v>
      </c>
      <c r="D41">
        <v>7.5953698633157023E-18</v>
      </c>
      <c r="E41">
        <v>2.7768056190333502E-2</v>
      </c>
      <c r="F41">
        <v>0</v>
      </c>
      <c r="G41">
        <v>1.353297620748461E-2</v>
      </c>
      <c r="H41">
        <v>1.6951986364847221E-2</v>
      </c>
      <c r="I41">
        <v>7.2808686576427889E-2</v>
      </c>
      <c r="J41">
        <v>8.6118094000208627E-18</v>
      </c>
      <c r="K41">
        <v>1.6739646825702829E-2</v>
      </c>
      <c r="L41">
        <v>2.6104397936459101E-19</v>
      </c>
      <c r="M41">
        <v>7.3701195875427164E-3</v>
      </c>
      <c r="N41">
        <v>2.5754880781472419E-2</v>
      </c>
      <c r="O41">
        <v>2.6093312615282801E-2</v>
      </c>
      <c r="P41">
        <v>0</v>
      </c>
      <c r="Q41">
        <v>3.1522724611453661E-3</v>
      </c>
      <c r="R41">
        <v>2.3543523276678479E-2</v>
      </c>
      <c r="S41">
        <v>1.050845682992217E-2</v>
      </c>
      <c r="T41">
        <v>0</v>
      </c>
      <c r="U41">
        <v>7.2998794556632815E-2</v>
      </c>
      <c r="V41">
        <v>0</v>
      </c>
      <c r="W41">
        <v>0.28909464854343481</v>
      </c>
      <c r="X41">
        <v>2.9836491761344858E-2</v>
      </c>
      <c r="Y41">
        <v>7.2418865810955871E-2</v>
      </c>
    </row>
    <row r="42" spans="1:25" x14ac:dyDescent="0.35">
      <c r="A42" s="4">
        <v>45412</v>
      </c>
      <c r="B42">
        <v>0.24579044746706419</v>
      </c>
      <c r="C42">
        <v>4.0432674855973537E-2</v>
      </c>
      <c r="D42">
        <v>0</v>
      </c>
      <c r="E42">
        <v>2.5767955776223161E-2</v>
      </c>
      <c r="F42">
        <v>7.4684453955433711E-18</v>
      </c>
      <c r="G42">
        <v>0</v>
      </c>
      <c r="H42">
        <v>1.479395483311868E-2</v>
      </c>
      <c r="I42">
        <v>0.1098753869993634</v>
      </c>
      <c r="J42">
        <v>0</v>
      </c>
      <c r="K42">
        <v>2.587485817269663E-3</v>
      </c>
      <c r="L42">
        <v>8.9458606955249431E-19</v>
      </c>
      <c r="M42">
        <v>2.5784700823014709E-18</v>
      </c>
      <c r="N42">
        <v>2.0135782313196501E-2</v>
      </c>
      <c r="O42">
        <v>4.1023370876980429E-2</v>
      </c>
      <c r="P42">
        <v>0</v>
      </c>
      <c r="Q42">
        <v>9.9947339722741609E-3</v>
      </c>
      <c r="R42">
        <v>8.4361697697006299E-3</v>
      </c>
      <c r="S42">
        <v>1.1587410718438831E-18</v>
      </c>
      <c r="T42">
        <v>1.3769367590565909E-17</v>
      </c>
      <c r="U42">
        <v>5.4289131239442942E-2</v>
      </c>
      <c r="V42">
        <v>0</v>
      </c>
      <c r="W42">
        <v>0.36445569737063022</v>
      </c>
      <c r="X42">
        <v>3.1170310466593791E-2</v>
      </c>
      <c r="Y42">
        <v>3.124689824216877E-2</v>
      </c>
    </row>
    <row r="43" spans="1:25" x14ac:dyDescent="0.35">
      <c r="A43" s="4">
        <v>45443</v>
      </c>
      <c r="B43">
        <v>0.2557958196042488</v>
      </c>
      <c r="C43">
        <v>4.9540253544218857E-2</v>
      </c>
      <c r="D43">
        <v>3.4476963610177578E-17</v>
      </c>
      <c r="E43">
        <v>2.6269830544517439E-2</v>
      </c>
      <c r="F43">
        <v>8.2627428571975537E-18</v>
      </c>
      <c r="G43">
        <v>0</v>
      </c>
      <c r="H43">
        <v>1.140121136728265E-2</v>
      </c>
      <c r="I43">
        <v>0.1203804121163741</v>
      </c>
      <c r="J43">
        <v>1.3035201625562219E-18</v>
      </c>
      <c r="K43">
        <v>1.35764304285471E-4</v>
      </c>
      <c r="L43">
        <v>0</v>
      </c>
      <c r="M43">
        <v>1.185697576972323E-2</v>
      </c>
      <c r="N43">
        <v>1.3011352620320811E-2</v>
      </c>
      <c r="O43">
        <v>3.546844525480497E-2</v>
      </c>
      <c r="P43">
        <v>0</v>
      </c>
      <c r="Q43">
        <v>9.5937504556301099E-3</v>
      </c>
      <c r="R43">
        <v>2.1494720237020291E-2</v>
      </c>
      <c r="S43">
        <v>0</v>
      </c>
      <c r="T43">
        <v>0</v>
      </c>
      <c r="U43">
        <v>4.0355118296376592E-2</v>
      </c>
      <c r="V43">
        <v>0</v>
      </c>
      <c r="W43">
        <v>0.34843043061602041</v>
      </c>
      <c r="X43">
        <v>2.8408937776270741E-2</v>
      </c>
      <c r="Y43">
        <v>2.785697749290544E-2</v>
      </c>
    </row>
    <row r="44" spans="1:25" x14ac:dyDescent="0.35">
      <c r="A44" s="4">
        <v>45471</v>
      </c>
      <c r="B44">
        <v>0.24675229063608939</v>
      </c>
      <c r="C44">
        <v>5.5710622916987113E-2</v>
      </c>
      <c r="D44">
        <v>2.3418238467372951E-20</v>
      </c>
      <c r="E44">
        <v>3.1241884562220861E-2</v>
      </c>
      <c r="F44">
        <v>0</v>
      </c>
      <c r="G44">
        <v>1.1570000569045181E-18</v>
      </c>
      <c r="H44">
        <v>6.4223507546187896E-3</v>
      </c>
      <c r="I44">
        <v>0.11856108952283261</v>
      </c>
      <c r="J44">
        <v>0</v>
      </c>
      <c r="K44">
        <v>7.2591160936079733E-3</v>
      </c>
      <c r="L44">
        <v>4.8161823890430959E-18</v>
      </c>
      <c r="M44">
        <v>2.4965614926385028E-2</v>
      </c>
      <c r="N44">
        <v>3.7143685868905002E-3</v>
      </c>
      <c r="O44">
        <v>3.653556276044459E-2</v>
      </c>
      <c r="P44">
        <v>7.057179832467083E-18</v>
      </c>
      <c r="Q44">
        <v>4.7116024004587118E-3</v>
      </c>
      <c r="R44">
        <v>1.4828922280039051E-2</v>
      </c>
      <c r="S44">
        <v>0</v>
      </c>
      <c r="T44">
        <v>3.0108543732573038E-3</v>
      </c>
      <c r="U44">
        <v>3.5655213836104288E-2</v>
      </c>
      <c r="V44">
        <v>3.1170812458958248E-19</v>
      </c>
      <c r="W44">
        <v>0.36281523474190308</v>
      </c>
      <c r="X44">
        <v>2.902652628248846E-2</v>
      </c>
      <c r="Y44">
        <v>1.8788745325672099E-2</v>
      </c>
    </row>
    <row r="45" spans="1:25" x14ac:dyDescent="0.35">
      <c r="A45" s="4">
        <v>45504</v>
      </c>
      <c r="B45">
        <v>0.25681020888189748</v>
      </c>
      <c r="C45">
        <v>4.7838781216735758E-2</v>
      </c>
      <c r="D45">
        <v>0</v>
      </c>
      <c r="E45">
        <v>2.9931464565507632E-2</v>
      </c>
      <c r="F45">
        <v>0</v>
      </c>
      <c r="G45">
        <v>1.586194867623098E-17</v>
      </c>
      <c r="H45">
        <v>2.9409660185665911E-3</v>
      </c>
      <c r="I45">
        <v>0.1358632143372123</v>
      </c>
      <c r="J45">
        <v>7.4424738144925826E-18</v>
      </c>
      <c r="K45">
        <v>0</v>
      </c>
      <c r="L45">
        <v>0</v>
      </c>
      <c r="M45">
        <v>1.8376072035467879E-2</v>
      </c>
      <c r="N45">
        <v>6.5778695893448941E-3</v>
      </c>
      <c r="O45">
        <v>4.2056122512647752E-2</v>
      </c>
      <c r="P45">
        <v>0</v>
      </c>
      <c r="Q45">
        <v>4.634658213189701E-3</v>
      </c>
      <c r="R45">
        <v>4.1210154308865673E-5</v>
      </c>
      <c r="S45">
        <v>2.5844669286623209E-17</v>
      </c>
      <c r="T45">
        <v>0</v>
      </c>
      <c r="U45">
        <v>2.519302094318103E-2</v>
      </c>
      <c r="V45">
        <v>0</v>
      </c>
      <c r="W45">
        <v>0.37787541177374689</v>
      </c>
      <c r="X45">
        <v>3.824817937609163E-2</v>
      </c>
      <c r="Y45">
        <v>1.361282038210143E-2</v>
      </c>
    </row>
    <row r="46" spans="1:25" x14ac:dyDescent="0.35">
      <c r="A46" s="4">
        <v>45534</v>
      </c>
      <c r="B46">
        <v>0.25783710711680058</v>
      </c>
      <c r="C46">
        <v>4.3732896217522133E-2</v>
      </c>
      <c r="D46">
        <v>1.06066428881476E-17</v>
      </c>
      <c r="E46">
        <v>3.5585688487204142E-2</v>
      </c>
      <c r="F46">
        <v>2.1010033898604229E-17</v>
      </c>
      <c r="G46">
        <v>7.0186113235783833E-18</v>
      </c>
      <c r="H46">
        <v>1.2916640932290349E-5</v>
      </c>
      <c r="I46">
        <v>0.12471067007015781</v>
      </c>
      <c r="J46">
        <v>3.3721543563645911E-19</v>
      </c>
      <c r="K46">
        <v>7.1202776178516215E-19</v>
      </c>
      <c r="L46">
        <v>1.0626110682874459E-2</v>
      </c>
      <c r="M46">
        <v>1.270604796169156E-2</v>
      </c>
      <c r="N46">
        <v>2.2389917043544108E-3</v>
      </c>
      <c r="O46">
        <v>3.6935498012349847E-2</v>
      </c>
      <c r="P46">
        <v>2.0602128026310231E-18</v>
      </c>
      <c r="Q46">
        <v>0</v>
      </c>
      <c r="R46">
        <v>0</v>
      </c>
      <c r="S46">
        <v>0</v>
      </c>
      <c r="T46">
        <v>2.0300748425564558E-3</v>
      </c>
      <c r="U46">
        <v>3.2099627684110482E-2</v>
      </c>
      <c r="V46">
        <v>4.7772658225142539E-19</v>
      </c>
      <c r="W46">
        <v>0.38804498361814332</v>
      </c>
      <c r="X46">
        <v>5.0440473372013621E-2</v>
      </c>
      <c r="Y46">
        <v>2.9989135892889728E-3</v>
      </c>
    </row>
    <row r="47" spans="1:25" x14ac:dyDescent="0.35">
      <c r="A47" s="4">
        <v>45565</v>
      </c>
      <c r="B47">
        <v>0.24630340536474971</v>
      </c>
      <c r="C47">
        <v>4.8311200969480737E-2</v>
      </c>
      <c r="D47">
        <v>3.4083730881698421E-18</v>
      </c>
      <c r="E47">
        <v>3.094685247640144E-2</v>
      </c>
      <c r="F47">
        <v>0</v>
      </c>
      <c r="G47">
        <v>0</v>
      </c>
      <c r="H47">
        <v>7.6221747445938404E-3</v>
      </c>
      <c r="I47">
        <v>8.2969739249840649E-2</v>
      </c>
      <c r="J47">
        <v>0</v>
      </c>
      <c r="K47">
        <v>0</v>
      </c>
      <c r="L47">
        <v>7.3869923512257154E-3</v>
      </c>
      <c r="M47">
        <v>1.825937293549907E-2</v>
      </c>
      <c r="N47">
        <v>4.5214432722538757E-3</v>
      </c>
      <c r="O47">
        <v>3.6660531254895858E-2</v>
      </c>
      <c r="P47">
        <v>2.1581839635077339E-18</v>
      </c>
      <c r="Q47">
        <v>1.954207451942917E-18</v>
      </c>
      <c r="R47">
        <v>7.3742688387959388E-18</v>
      </c>
      <c r="S47">
        <v>0</v>
      </c>
      <c r="T47">
        <v>1.143657615115113E-2</v>
      </c>
      <c r="U47">
        <v>4.4143975888834119E-2</v>
      </c>
      <c r="V47">
        <v>8.9446679230054116E-19</v>
      </c>
      <c r="W47">
        <v>0.39183970695660231</v>
      </c>
      <c r="X47">
        <v>6.1445098128708173E-2</v>
      </c>
      <c r="Y47">
        <v>8.1529302557635224E-3</v>
      </c>
    </row>
    <row r="48" spans="1:25" x14ac:dyDescent="0.35">
      <c r="A48" s="4">
        <v>45596</v>
      </c>
      <c r="B48">
        <v>0.23575473132183231</v>
      </c>
      <c r="C48">
        <v>5.4555110432538557E-2</v>
      </c>
      <c r="D48">
        <v>6.0408356028170358E-17</v>
      </c>
      <c r="E48">
        <v>3.4662674145591613E-2</v>
      </c>
      <c r="F48">
        <v>2.1373983944822861E-17</v>
      </c>
      <c r="G48">
        <v>0</v>
      </c>
      <c r="H48">
        <v>9.8287677261732209E-3</v>
      </c>
      <c r="I48">
        <v>8.2062467067012548E-2</v>
      </c>
      <c r="J48">
        <v>1.10198531975863E-17</v>
      </c>
      <c r="K48">
        <v>3.2407026100028029E-18</v>
      </c>
      <c r="L48">
        <v>7.6830880878283646E-3</v>
      </c>
      <c r="M48">
        <v>1.836046203045746E-2</v>
      </c>
      <c r="N48">
        <v>6.4012880733935566E-3</v>
      </c>
      <c r="O48">
        <v>3.5691846589907469E-2</v>
      </c>
      <c r="P48">
        <v>0</v>
      </c>
      <c r="Q48">
        <v>0</v>
      </c>
      <c r="R48">
        <v>2.1412992906588709E-18</v>
      </c>
      <c r="S48">
        <v>1.1655173354219171E-18</v>
      </c>
      <c r="T48">
        <v>7.3704173148384641E-3</v>
      </c>
      <c r="U48">
        <v>4.4232347619740028E-2</v>
      </c>
      <c r="V48">
        <v>1.409462824231156E-18</v>
      </c>
      <c r="W48">
        <v>0.38235881179339742</v>
      </c>
      <c r="X48">
        <v>5.3203174571132161E-2</v>
      </c>
      <c r="Y48">
        <v>2.7834813226156729E-2</v>
      </c>
    </row>
    <row r="49" spans="1:25" x14ac:dyDescent="0.35">
      <c r="A49" s="4">
        <v>45625</v>
      </c>
      <c r="B49">
        <v>0.24857513289356031</v>
      </c>
      <c r="C49">
        <v>4.6307198424491297E-2</v>
      </c>
      <c r="D49">
        <v>1.8598889888275071E-17</v>
      </c>
      <c r="E49">
        <v>3.5967963689231608E-2</v>
      </c>
      <c r="F49">
        <v>0</v>
      </c>
      <c r="G49">
        <v>0</v>
      </c>
      <c r="H49">
        <v>8.8113588493772994E-3</v>
      </c>
      <c r="I49">
        <v>9.0229136373878777E-2</v>
      </c>
      <c r="J49">
        <v>0</v>
      </c>
      <c r="K49">
        <v>0</v>
      </c>
      <c r="L49">
        <v>7.1207558702457751E-3</v>
      </c>
      <c r="M49">
        <v>2.1660172447649131E-2</v>
      </c>
      <c r="N49">
        <v>5.3813463387638828E-3</v>
      </c>
      <c r="O49">
        <v>3.7927746004774679E-2</v>
      </c>
      <c r="P49">
        <v>5.906623692397286E-18</v>
      </c>
      <c r="Q49">
        <v>1.022143936533299E-17</v>
      </c>
      <c r="R49">
        <v>1.4094628242311561E-17</v>
      </c>
      <c r="S49">
        <v>0</v>
      </c>
      <c r="T49">
        <v>8.1953165316639622E-3</v>
      </c>
      <c r="U49">
        <v>4.5545181072134643E-2</v>
      </c>
      <c r="V49">
        <v>4.7162794503119443E-18</v>
      </c>
      <c r="W49">
        <v>0.3732557586121556</v>
      </c>
      <c r="X49">
        <v>5.1922782410361183E-2</v>
      </c>
      <c r="Y49">
        <v>1.9100150481711719E-2</v>
      </c>
    </row>
    <row r="50" spans="1:25" x14ac:dyDescent="0.35">
      <c r="A50" s="4">
        <v>45657</v>
      </c>
      <c r="B50">
        <v>0.25929035845541398</v>
      </c>
      <c r="C50">
        <v>5.6152236790467193E-2</v>
      </c>
      <c r="D50">
        <v>3.2120973561408221E-17</v>
      </c>
      <c r="E50">
        <v>3.4938667751275798E-2</v>
      </c>
      <c r="F50">
        <v>0</v>
      </c>
      <c r="G50">
        <v>0</v>
      </c>
      <c r="H50">
        <v>7.16667404234378E-3</v>
      </c>
      <c r="I50">
        <v>8.6073286774577124E-2</v>
      </c>
      <c r="J50">
        <v>0</v>
      </c>
      <c r="K50">
        <v>0</v>
      </c>
      <c r="L50">
        <v>4.7176518783387444E-3</v>
      </c>
      <c r="M50">
        <v>5.7466423485301107E-3</v>
      </c>
      <c r="N50">
        <v>1.630301321689776E-3</v>
      </c>
      <c r="O50">
        <v>3.4147270076924578E-2</v>
      </c>
      <c r="P50">
        <v>3.0795831588465439E-3</v>
      </c>
      <c r="Q50">
        <v>0</v>
      </c>
      <c r="R50">
        <v>0</v>
      </c>
      <c r="S50">
        <v>3.1086109164232819E-18</v>
      </c>
      <c r="T50">
        <v>0</v>
      </c>
      <c r="U50">
        <v>5.9244313649873953E-2</v>
      </c>
      <c r="V50">
        <v>0</v>
      </c>
      <c r="W50">
        <v>0.37296760459872941</v>
      </c>
      <c r="X50">
        <v>6.7348781447756592E-2</v>
      </c>
      <c r="Y50">
        <v>7.4966277052324623E-3</v>
      </c>
    </row>
    <row r="51" spans="1:25" x14ac:dyDescent="0.35">
      <c r="A51" s="4">
        <v>45688</v>
      </c>
      <c r="B51">
        <v>0.29922324775339709</v>
      </c>
      <c r="C51">
        <v>4.7650406787020483E-2</v>
      </c>
      <c r="D51">
        <v>0</v>
      </c>
      <c r="E51">
        <v>2.9487662387574418E-2</v>
      </c>
      <c r="F51">
        <v>0</v>
      </c>
      <c r="G51">
        <v>2.0309092051793621E-17</v>
      </c>
      <c r="H51">
        <v>1.5188834382233031E-3</v>
      </c>
      <c r="I51">
        <v>6.7636631444998346E-2</v>
      </c>
      <c r="J51">
        <v>0</v>
      </c>
      <c r="K51">
        <v>0</v>
      </c>
      <c r="L51">
        <v>4.9889041514635931E-3</v>
      </c>
      <c r="M51">
        <v>2.4906576649960351E-3</v>
      </c>
      <c r="N51">
        <v>0</v>
      </c>
      <c r="O51">
        <v>4.6908379502345013E-2</v>
      </c>
      <c r="P51">
        <v>1.0757948003642499E-18</v>
      </c>
      <c r="Q51">
        <v>4.5149788324639301E-18</v>
      </c>
      <c r="R51">
        <v>5.391082485722951E-18</v>
      </c>
      <c r="S51">
        <v>1.322169736288431E-17</v>
      </c>
      <c r="T51">
        <v>0</v>
      </c>
      <c r="U51">
        <v>3.7645251000706717E-2</v>
      </c>
      <c r="V51">
        <v>7.5144622291381341E-18</v>
      </c>
      <c r="W51">
        <v>0.38033282960863968</v>
      </c>
      <c r="X51">
        <v>8.2117146260635432E-2</v>
      </c>
      <c r="Y51">
        <v>6.8996415650613282E-17</v>
      </c>
    </row>
    <row r="52" spans="1:25" x14ac:dyDescent="0.35">
      <c r="A52" s="4">
        <v>45716</v>
      </c>
      <c r="B52">
        <v>0.37541149794880208</v>
      </c>
      <c r="C52">
        <v>3.6485561329807223E-2</v>
      </c>
      <c r="D52">
        <v>2.7324648375901159E-17</v>
      </c>
      <c r="E52">
        <v>2.2975493357734508E-2</v>
      </c>
      <c r="F52">
        <v>0</v>
      </c>
      <c r="G52">
        <v>7.1005725913039007E-18</v>
      </c>
      <c r="H52">
        <v>2.2837973130404729E-18</v>
      </c>
      <c r="I52">
        <v>2.1776099633504981E-2</v>
      </c>
      <c r="J52">
        <v>0</v>
      </c>
      <c r="K52">
        <v>4.6693769788464218E-19</v>
      </c>
      <c r="L52">
        <v>0</v>
      </c>
      <c r="M52">
        <v>3.3099148177968422E-18</v>
      </c>
      <c r="N52">
        <v>0</v>
      </c>
      <c r="O52">
        <v>3.0314103553209189E-2</v>
      </c>
      <c r="P52">
        <v>0</v>
      </c>
      <c r="Q52">
        <v>0</v>
      </c>
      <c r="R52">
        <v>3.7900853169204798E-18</v>
      </c>
      <c r="S52">
        <v>0</v>
      </c>
      <c r="T52">
        <v>0</v>
      </c>
      <c r="U52">
        <v>2.415925094159502E-17</v>
      </c>
      <c r="V52">
        <v>0</v>
      </c>
      <c r="W52">
        <v>0.44895637747729522</v>
      </c>
      <c r="X52">
        <v>6.4080866699646827E-2</v>
      </c>
      <c r="Y52">
        <v>0</v>
      </c>
    </row>
    <row r="53" spans="1:25" x14ac:dyDescent="0.35">
      <c r="A53" s="4">
        <v>45747</v>
      </c>
      <c r="B53">
        <v>0.54284385894676945</v>
      </c>
      <c r="C53">
        <v>0</v>
      </c>
      <c r="D53">
        <v>0</v>
      </c>
      <c r="E53">
        <v>0</v>
      </c>
      <c r="F53">
        <v>4.1004045277093913E-2</v>
      </c>
      <c r="G53">
        <v>0</v>
      </c>
      <c r="H53">
        <v>0</v>
      </c>
      <c r="I53">
        <v>1.009755009789255E-17</v>
      </c>
      <c r="J53">
        <v>3.0976669431853201E-18</v>
      </c>
      <c r="K53">
        <v>1.8911001155786869E-17</v>
      </c>
      <c r="L53">
        <v>0</v>
      </c>
      <c r="M53">
        <v>3.6061573313043998E-17</v>
      </c>
      <c r="N53">
        <v>0</v>
      </c>
      <c r="O53">
        <v>1.9425700225732939E-17</v>
      </c>
      <c r="P53">
        <v>2.7772228631436023E-17</v>
      </c>
      <c r="Q53">
        <v>1.164076214912369E-17</v>
      </c>
      <c r="R53">
        <v>1.057315629300596E-17</v>
      </c>
      <c r="S53">
        <v>6.9688974342079532E-18</v>
      </c>
      <c r="T53">
        <v>0</v>
      </c>
      <c r="U53">
        <v>0</v>
      </c>
      <c r="V53">
        <v>1.5236715567281441E-17</v>
      </c>
      <c r="W53">
        <v>0.41615209577613649</v>
      </c>
      <c r="X53">
        <v>3.4439692986057693E-17</v>
      </c>
      <c r="Y53">
        <v>5.0332276219353992E-17</v>
      </c>
    </row>
    <row r="54" spans="1:25" x14ac:dyDescent="0.35">
      <c r="A54" s="4">
        <v>45777</v>
      </c>
      <c r="B54">
        <v>0.43625387978462271</v>
      </c>
      <c r="C54">
        <v>1.018107507187632E-2</v>
      </c>
      <c r="D54">
        <v>0</v>
      </c>
      <c r="E54">
        <v>3.9003181660281311E-17</v>
      </c>
      <c r="F54">
        <v>0</v>
      </c>
      <c r="G54">
        <v>0</v>
      </c>
      <c r="H54">
        <v>0</v>
      </c>
      <c r="I54">
        <v>1.6284465210930991E-17</v>
      </c>
      <c r="J54">
        <v>0</v>
      </c>
      <c r="K54">
        <v>0</v>
      </c>
      <c r="L54">
        <v>0</v>
      </c>
      <c r="M54">
        <v>0</v>
      </c>
      <c r="N54">
        <v>0</v>
      </c>
      <c r="O54">
        <v>8.9895434477530129E-18</v>
      </c>
      <c r="P54">
        <v>3.5585310856429502E-18</v>
      </c>
      <c r="Q54">
        <v>1.7880729265154449E-17</v>
      </c>
      <c r="R54">
        <v>1.5956543297928629E-17</v>
      </c>
      <c r="S54">
        <v>0</v>
      </c>
      <c r="T54">
        <v>6.6431940760530607E-18</v>
      </c>
      <c r="U54">
        <v>1.054315055515154E-17</v>
      </c>
      <c r="V54">
        <v>0</v>
      </c>
      <c r="W54">
        <v>0.5345123440721441</v>
      </c>
      <c r="X54">
        <v>1.905270107135688E-2</v>
      </c>
      <c r="Y54">
        <v>3.7752683901308219E-17</v>
      </c>
    </row>
    <row r="55" spans="1:25" x14ac:dyDescent="0.35">
      <c r="A55" s="4">
        <v>45807</v>
      </c>
      <c r="B55">
        <v>0.4002610345381955</v>
      </c>
      <c r="C55">
        <v>2.1316962931307661E-2</v>
      </c>
      <c r="D55">
        <v>1.531330009691661E-17</v>
      </c>
      <c r="E55">
        <v>2.8589388110236831E-17</v>
      </c>
      <c r="F55">
        <v>0</v>
      </c>
      <c r="G55">
        <v>9.0370997556811366E-18</v>
      </c>
      <c r="H55">
        <v>0</v>
      </c>
      <c r="I55">
        <v>1.513537844301093E-2</v>
      </c>
      <c r="J55">
        <v>6.9681910117198763E-18</v>
      </c>
      <c r="K55">
        <v>2.0853237982974789E-18</v>
      </c>
      <c r="L55">
        <v>0</v>
      </c>
      <c r="M55">
        <v>0</v>
      </c>
      <c r="N55">
        <v>6.5857616711145757E-18</v>
      </c>
      <c r="O55">
        <v>0</v>
      </c>
      <c r="P55">
        <v>0</v>
      </c>
      <c r="Q55">
        <v>0</v>
      </c>
      <c r="R55">
        <v>2.3423317441492499E-18</v>
      </c>
      <c r="S55">
        <v>0</v>
      </c>
      <c r="T55">
        <v>6.1219213843111863E-18</v>
      </c>
      <c r="U55">
        <v>0</v>
      </c>
      <c r="V55">
        <v>9.9666978499550772E-18</v>
      </c>
      <c r="W55">
        <v>0.51264593838571593</v>
      </c>
      <c r="X55">
        <v>5.064068570177007E-2</v>
      </c>
      <c r="Y55">
        <v>0</v>
      </c>
    </row>
    <row r="56" spans="1:25" x14ac:dyDescent="0.35">
      <c r="A56" s="4">
        <v>45838</v>
      </c>
      <c r="B56">
        <v>0.39320791247493891</v>
      </c>
      <c r="C56">
        <v>2.1367853734652699E-2</v>
      </c>
      <c r="D56">
        <v>6.7153706248042373E-18</v>
      </c>
      <c r="E56">
        <v>6.6549379154814109E-18</v>
      </c>
      <c r="F56">
        <v>8.2812411742096683E-18</v>
      </c>
      <c r="G56">
        <v>0</v>
      </c>
      <c r="H56">
        <v>0</v>
      </c>
      <c r="I56">
        <v>5.2622043540338878E-2</v>
      </c>
      <c r="J56">
        <v>8.5445629268396227E-19</v>
      </c>
      <c r="K56">
        <v>5.30590780057308E-18</v>
      </c>
      <c r="L56">
        <v>2.5824433914861251E-17</v>
      </c>
      <c r="M56">
        <v>0</v>
      </c>
      <c r="N56">
        <v>8.0435253992380134E-18</v>
      </c>
      <c r="O56">
        <v>3.0770707462792459E-18</v>
      </c>
      <c r="P56">
        <v>0</v>
      </c>
      <c r="Q56">
        <v>0</v>
      </c>
      <c r="R56">
        <v>0</v>
      </c>
      <c r="S56">
        <v>7.94178091345632E-18</v>
      </c>
      <c r="T56">
        <v>0</v>
      </c>
      <c r="U56">
        <v>2.6105098981214461E-3</v>
      </c>
      <c r="V56">
        <v>1.531435568635775E-17</v>
      </c>
      <c r="W56">
        <v>0.47788284592149421</v>
      </c>
      <c r="X56">
        <v>4.2020382441012832E-2</v>
      </c>
      <c r="Y56">
        <v>1.028845198944104E-2</v>
      </c>
    </row>
    <row r="57" spans="1:25" x14ac:dyDescent="0.35">
      <c r="A57" s="4">
        <v>45869</v>
      </c>
      <c r="B57">
        <v>0.32599164401016689</v>
      </c>
      <c r="C57">
        <v>4.4880222469794721E-2</v>
      </c>
      <c r="D57">
        <v>3.7794751881623727E-17</v>
      </c>
      <c r="E57">
        <v>1.4683667625945839E-17</v>
      </c>
      <c r="F57">
        <v>0</v>
      </c>
      <c r="G57">
        <v>5.4042119786192822E-18</v>
      </c>
      <c r="H57">
        <v>0</v>
      </c>
      <c r="I57">
        <v>0.1075828551252852</v>
      </c>
      <c r="J57">
        <v>0</v>
      </c>
      <c r="K57">
        <v>0</v>
      </c>
      <c r="L57">
        <v>1.6505166857775891E-3</v>
      </c>
      <c r="M57">
        <v>5.8022647526528008E-18</v>
      </c>
      <c r="N57">
        <v>0</v>
      </c>
      <c r="O57">
        <v>0</v>
      </c>
      <c r="P57">
        <v>6.0320329653295477E-5</v>
      </c>
      <c r="Q57">
        <v>1.209063735306873E-17</v>
      </c>
      <c r="R57">
        <v>0</v>
      </c>
      <c r="S57">
        <v>0</v>
      </c>
      <c r="T57">
        <v>8.6465123255718979E-18</v>
      </c>
      <c r="U57">
        <v>8.1803945291897703E-2</v>
      </c>
      <c r="V57">
        <v>0</v>
      </c>
      <c r="W57">
        <v>0.34573941509132389</v>
      </c>
      <c r="X57">
        <v>5.5178165899835499E-2</v>
      </c>
      <c r="Y57">
        <v>3.7112915096265138E-2</v>
      </c>
    </row>
    <row r="58" spans="1:25" x14ac:dyDescent="0.35">
      <c r="A58" s="4">
        <v>45898</v>
      </c>
      <c r="B58">
        <v>0.35153231386208728</v>
      </c>
      <c r="C58">
        <v>4.4979229930150327E-2</v>
      </c>
      <c r="D58">
        <v>2.0026669797227379E-17</v>
      </c>
      <c r="E58">
        <v>4.9042105456731613E-18</v>
      </c>
      <c r="F58">
        <v>0</v>
      </c>
      <c r="G58">
        <v>7.6689260855111976E-18</v>
      </c>
      <c r="H58">
        <v>0</v>
      </c>
      <c r="I58">
        <v>0.10749172144230509</v>
      </c>
      <c r="J58">
        <v>0</v>
      </c>
      <c r="K58">
        <v>3.9262675358176417E-18</v>
      </c>
      <c r="L58">
        <v>0</v>
      </c>
      <c r="M58">
        <v>3.3023149388105369E-3</v>
      </c>
      <c r="N58">
        <v>0</v>
      </c>
      <c r="O58">
        <v>0</v>
      </c>
      <c r="P58">
        <v>2.5731758748293271E-18</v>
      </c>
      <c r="Q58">
        <v>2.4148799107290859E-17</v>
      </c>
      <c r="R58">
        <v>0</v>
      </c>
      <c r="S58">
        <v>0</v>
      </c>
      <c r="T58">
        <v>3.9573379295720912E-18</v>
      </c>
      <c r="U58">
        <v>5.5108543348218783E-2</v>
      </c>
      <c r="V58">
        <v>0</v>
      </c>
      <c r="W58">
        <v>0.35113713973099542</v>
      </c>
      <c r="X58">
        <v>5.5220171512765828E-2</v>
      </c>
      <c r="Y58">
        <v>3.1228565234666741E-2</v>
      </c>
    </row>
    <row r="59" spans="1:25" x14ac:dyDescent="0.35">
      <c r="A59" s="4">
        <v>45930</v>
      </c>
      <c r="B59">
        <v>0.33284047278046491</v>
      </c>
      <c r="C59">
        <v>5.3609661425983099E-2</v>
      </c>
      <c r="D59">
        <v>0</v>
      </c>
      <c r="E59">
        <v>4.9576752077627956E-3</v>
      </c>
      <c r="F59">
        <v>0</v>
      </c>
      <c r="G59">
        <v>1.8594067258126401E-17</v>
      </c>
      <c r="H59">
        <v>0</v>
      </c>
      <c r="I59">
        <v>0.1279423883436871</v>
      </c>
      <c r="J59">
        <v>0</v>
      </c>
      <c r="K59">
        <v>6.2834949292599326E-3</v>
      </c>
      <c r="L59">
        <v>4.4043225717312418E-19</v>
      </c>
      <c r="M59">
        <v>0</v>
      </c>
      <c r="N59">
        <v>0</v>
      </c>
      <c r="O59">
        <v>0</v>
      </c>
      <c r="P59">
        <v>1.011693664660625E-17</v>
      </c>
      <c r="Q59">
        <v>0</v>
      </c>
      <c r="R59">
        <v>0</v>
      </c>
      <c r="S59">
        <v>0</v>
      </c>
      <c r="T59">
        <v>1.978668964786046E-18</v>
      </c>
      <c r="U59">
        <v>8.828959225008641E-2</v>
      </c>
      <c r="V59">
        <v>0</v>
      </c>
      <c r="W59">
        <v>0.31240156175128603</v>
      </c>
      <c r="X59">
        <v>5.7978284991582613E-2</v>
      </c>
      <c r="Y59">
        <v>1.5696868319887199E-2</v>
      </c>
    </row>
    <row r="60" spans="1:25" x14ac:dyDescent="0.35">
      <c r="A60" s="4">
        <v>45961</v>
      </c>
      <c r="B60">
        <v>0.30588439314828869</v>
      </c>
      <c r="C60">
        <v>5.4872016247439107E-2</v>
      </c>
      <c r="D60">
        <v>0</v>
      </c>
      <c r="E60">
        <v>1.08790023511116E-2</v>
      </c>
      <c r="F60">
        <v>1.7133592460441551E-17</v>
      </c>
      <c r="G60">
        <v>1.5273699387454589E-2</v>
      </c>
      <c r="H60">
        <v>2.7095033877150471E-18</v>
      </c>
      <c r="I60">
        <v>0.1060382913317649</v>
      </c>
      <c r="J60">
        <v>0</v>
      </c>
      <c r="K60">
        <v>0</v>
      </c>
      <c r="L60">
        <v>1.462534380275646E-3</v>
      </c>
      <c r="M60">
        <v>8.830207353489529E-3</v>
      </c>
      <c r="N60">
        <v>1.304240742153188E-18</v>
      </c>
      <c r="O60">
        <v>0</v>
      </c>
      <c r="P60">
        <v>2.0631822628930411E-18</v>
      </c>
      <c r="Q60">
        <v>1.4368876920603521E-17</v>
      </c>
      <c r="R60">
        <v>0</v>
      </c>
      <c r="S60">
        <v>7.0473141211557788E-19</v>
      </c>
      <c r="T60">
        <v>0</v>
      </c>
      <c r="U60">
        <v>0.12302059944313171</v>
      </c>
      <c r="V60">
        <v>0</v>
      </c>
      <c r="W60">
        <v>0.29963077096010959</v>
      </c>
      <c r="X60">
        <v>6.016228836842881E-2</v>
      </c>
      <c r="Y60">
        <v>1.3946197028505849E-2</v>
      </c>
    </row>
    <row r="61" spans="1:25" x14ac:dyDescent="0.35">
      <c r="A61" s="4">
        <v>45989</v>
      </c>
      <c r="B61">
        <v>0.35256845308788598</v>
      </c>
      <c r="C61">
        <v>4.9677152593031217E-2</v>
      </c>
      <c r="D61">
        <v>7.5591278952492462E-17</v>
      </c>
      <c r="E61">
        <v>6.6285712907518043E-3</v>
      </c>
      <c r="F61">
        <v>3.9796839501306832E-18</v>
      </c>
      <c r="G61">
        <v>1.7029008976053381E-18</v>
      </c>
      <c r="H61">
        <v>0</v>
      </c>
      <c r="I61">
        <v>8.5094672637719734E-2</v>
      </c>
      <c r="J61">
        <v>0</v>
      </c>
      <c r="K61">
        <v>2.4686142033975699E-18</v>
      </c>
      <c r="L61">
        <v>0</v>
      </c>
      <c r="M61">
        <v>0</v>
      </c>
      <c r="N61">
        <v>0</v>
      </c>
      <c r="O61">
        <v>4.901255796743362E-18</v>
      </c>
      <c r="P61">
        <v>3.1665738304607689E-18</v>
      </c>
      <c r="Q61">
        <v>7.2865420859056861E-18</v>
      </c>
      <c r="R61">
        <v>0</v>
      </c>
      <c r="S61">
        <v>0</v>
      </c>
      <c r="T61">
        <v>9.8662397696180903E-18</v>
      </c>
      <c r="U61">
        <v>5.859389476272138E-2</v>
      </c>
      <c r="V61">
        <v>6.1257422745431001E-18</v>
      </c>
      <c r="W61">
        <v>0.37080972713098992</v>
      </c>
      <c r="X61">
        <v>5.3234805905539397E-2</v>
      </c>
      <c r="Y61">
        <v>2.339272259136042E-2</v>
      </c>
    </row>
    <row r="62" spans="1:25" x14ac:dyDescent="0.35">
      <c r="A62" s="4">
        <v>46022</v>
      </c>
      <c r="B62">
        <v>0.35212500552768777</v>
      </c>
      <c r="C62">
        <v>5.6833842481617512E-2</v>
      </c>
      <c r="D62">
        <v>1.9150729286823352E-17</v>
      </c>
      <c r="E62">
        <v>2.4437209138129011E-3</v>
      </c>
      <c r="F62">
        <v>0</v>
      </c>
      <c r="G62">
        <v>0</v>
      </c>
      <c r="H62">
        <v>0</v>
      </c>
      <c r="I62">
        <v>8.5259026586630204E-2</v>
      </c>
      <c r="J62">
        <v>2.650636859483944E-18</v>
      </c>
      <c r="K62">
        <v>0</v>
      </c>
      <c r="L62">
        <v>4.8087453715813886E-3</v>
      </c>
      <c r="M62">
        <v>0</v>
      </c>
      <c r="N62">
        <v>0</v>
      </c>
      <c r="O62">
        <v>0</v>
      </c>
      <c r="P62">
        <v>0</v>
      </c>
      <c r="Q62">
        <v>0</v>
      </c>
      <c r="R62">
        <v>1.409462824231156E-18</v>
      </c>
      <c r="S62">
        <v>2.602085213965211E-18</v>
      </c>
      <c r="T62">
        <v>0</v>
      </c>
      <c r="U62">
        <v>2.1155393529617941E-2</v>
      </c>
      <c r="V62">
        <v>8.1857264022655585E-18</v>
      </c>
      <c r="W62">
        <v>0.37494766421159648</v>
      </c>
      <c r="X62">
        <v>4.5519244121156981E-2</v>
      </c>
      <c r="Y62">
        <v>5.6907357256298897E-2</v>
      </c>
    </row>
    <row r="63" spans="1:25" x14ac:dyDescent="0.35">
      <c r="A63" s="4">
        <v>46052</v>
      </c>
      <c r="B63">
        <v>0.34541907901632368</v>
      </c>
      <c r="C63">
        <v>6.9444962548573463E-2</v>
      </c>
      <c r="D63">
        <v>0</v>
      </c>
      <c r="E63">
        <v>1.2673085642632311E-2</v>
      </c>
      <c r="F63">
        <v>1.6081587114446601E-17</v>
      </c>
      <c r="G63">
        <v>0</v>
      </c>
      <c r="H63">
        <v>0</v>
      </c>
      <c r="I63">
        <v>9.3654611169222662E-2</v>
      </c>
      <c r="J63">
        <v>3.179581261869101E-18</v>
      </c>
      <c r="K63">
        <v>0</v>
      </c>
      <c r="L63">
        <v>1.8754594751737391E-2</v>
      </c>
      <c r="M63">
        <v>9.1822990308584995E-3</v>
      </c>
      <c r="N63">
        <v>1.4448577858922941E-18</v>
      </c>
      <c r="O63">
        <v>1.9869588721350461E-18</v>
      </c>
      <c r="P63">
        <v>0</v>
      </c>
      <c r="Q63">
        <v>0</v>
      </c>
      <c r="R63">
        <v>0</v>
      </c>
      <c r="S63">
        <v>0</v>
      </c>
      <c r="T63">
        <v>0</v>
      </c>
      <c r="U63">
        <v>8.4798175953721286E-2</v>
      </c>
      <c r="V63">
        <v>0</v>
      </c>
      <c r="W63">
        <v>0.29502400718298177</v>
      </c>
      <c r="X63">
        <v>3.055079631830953E-2</v>
      </c>
      <c r="Y63">
        <v>4.0498388385639392E-2</v>
      </c>
    </row>
    <row r="64" spans="1:25" x14ac:dyDescent="0.35">
      <c r="A64" s="4">
        <v>46080</v>
      </c>
      <c r="B64">
        <v>0.38121255073340671</v>
      </c>
      <c r="C64">
        <v>6.4032024559706552E-2</v>
      </c>
      <c r="D64">
        <v>3.4382330852829621E-17</v>
      </c>
      <c r="E64">
        <v>1.5057196087228331E-2</v>
      </c>
      <c r="F64">
        <v>2.9929917997007068E-19</v>
      </c>
      <c r="G64">
        <v>0</v>
      </c>
      <c r="H64">
        <v>0</v>
      </c>
      <c r="I64">
        <v>0.1145680602839151</v>
      </c>
      <c r="J64">
        <v>0</v>
      </c>
      <c r="K64">
        <v>3.118224828432383E-18</v>
      </c>
      <c r="L64">
        <v>4.1436660936469286E-3</v>
      </c>
      <c r="M64">
        <v>0</v>
      </c>
      <c r="N64">
        <v>1.090457859234137E-2</v>
      </c>
      <c r="O64">
        <v>0</v>
      </c>
      <c r="P64">
        <v>4.6192950584289692E-19</v>
      </c>
      <c r="Q64">
        <v>0</v>
      </c>
      <c r="R64">
        <v>0</v>
      </c>
      <c r="S64">
        <v>5.4210108624275222E-19</v>
      </c>
      <c r="T64">
        <v>0</v>
      </c>
      <c r="U64">
        <v>5.9054379773578622E-2</v>
      </c>
      <c r="V64">
        <v>8.8904578143811364E-18</v>
      </c>
      <c r="W64">
        <v>0.30161887483011018</v>
      </c>
      <c r="X64">
        <v>9.7912118976014838E-3</v>
      </c>
      <c r="Y64">
        <v>3.9617457148464687E-2</v>
      </c>
    </row>
    <row r="65" spans="1:25" x14ac:dyDescent="0.35">
      <c r="A65" s="4">
        <v>46112</v>
      </c>
      <c r="B65">
        <v>0.33261128133234719</v>
      </c>
      <c r="C65">
        <v>8.2947744641805168E-2</v>
      </c>
      <c r="D65">
        <v>0</v>
      </c>
      <c r="E65">
        <v>1.995686062547725E-2</v>
      </c>
      <c r="F65">
        <v>1.353780700187136E-17</v>
      </c>
      <c r="G65">
        <v>1.9061839238651481E-2</v>
      </c>
      <c r="H65">
        <v>9.2233109522806407E-18</v>
      </c>
      <c r="I65">
        <v>8.654129272859315E-2</v>
      </c>
      <c r="J65">
        <v>1.720003321779363E-18</v>
      </c>
      <c r="K65">
        <v>0</v>
      </c>
      <c r="L65">
        <v>1.6424294467797689E-18</v>
      </c>
      <c r="M65">
        <v>2.212865084576339E-2</v>
      </c>
      <c r="N65">
        <v>2.098347860945864E-2</v>
      </c>
      <c r="O65">
        <v>4.8912946762994637E-18</v>
      </c>
      <c r="P65">
        <v>1.046986101320797E-2</v>
      </c>
      <c r="Q65">
        <v>0</v>
      </c>
      <c r="R65">
        <v>2.8162151430310978E-17</v>
      </c>
      <c r="S65">
        <v>0</v>
      </c>
      <c r="T65">
        <v>3.7947076036992663E-18</v>
      </c>
      <c r="U65">
        <v>0.1029370708715107</v>
      </c>
      <c r="V65">
        <v>7.3183646642771549E-19</v>
      </c>
      <c r="W65">
        <v>0.27321310125762122</v>
      </c>
      <c r="X65">
        <v>6.4045323598041861E-4</v>
      </c>
      <c r="Y65">
        <v>2.8508365599583231E-2</v>
      </c>
    </row>
    <row r="66" spans="1:25" x14ac:dyDescent="0.35">
      <c r="A66" s="4">
        <v>46142</v>
      </c>
      <c r="B66">
        <v>0.2822291840144503</v>
      </c>
      <c r="C66">
        <v>0.1074342881159981</v>
      </c>
      <c r="D66">
        <v>1.568506707210579E-17</v>
      </c>
      <c r="E66">
        <v>3.6387484994912303E-2</v>
      </c>
      <c r="F66">
        <v>0</v>
      </c>
      <c r="G66">
        <v>0.1117861973898694</v>
      </c>
      <c r="H66">
        <v>3.385619489800156E-18</v>
      </c>
      <c r="I66">
        <v>6.6430915932217532E-2</v>
      </c>
      <c r="J66">
        <v>0</v>
      </c>
      <c r="K66">
        <v>5.5984087529648346E-3</v>
      </c>
      <c r="L66">
        <v>1.2423653365590551E-2</v>
      </c>
      <c r="M66">
        <v>2.4358527981137201E-2</v>
      </c>
      <c r="N66">
        <v>2.1618506722341332E-2</v>
      </c>
      <c r="O66">
        <v>0</v>
      </c>
      <c r="P66">
        <v>1.4149725985646131E-2</v>
      </c>
      <c r="Q66">
        <v>0</v>
      </c>
      <c r="R66">
        <v>2.8799120206646212E-18</v>
      </c>
      <c r="S66">
        <v>5.2312754822425589E-18</v>
      </c>
      <c r="T66">
        <v>1.186651440705491E-2</v>
      </c>
      <c r="U66">
        <v>9.432645343149465E-2</v>
      </c>
      <c r="V66">
        <v>2.2744656959892162E-3</v>
      </c>
      <c r="W66">
        <v>0.17726718278137199</v>
      </c>
      <c r="X66">
        <v>1.663162048507762E-2</v>
      </c>
      <c r="Y66">
        <v>1.5216869943883981E-2</v>
      </c>
    </row>
    <row r="67" spans="1:25" x14ac:dyDescent="0.35">
      <c r="A67" s="4">
        <v>46171</v>
      </c>
      <c r="B67">
        <v>0.3103795106371055</v>
      </c>
      <c r="C67">
        <v>0.1056806845698304</v>
      </c>
      <c r="D67">
        <v>4.5341667952651718E-17</v>
      </c>
      <c r="E67">
        <v>3.7483954993119052E-2</v>
      </c>
      <c r="F67">
        <v>3.1995915935200899E-18</v>
      </c>
      <c r="G67">
        <v>0.11443086144972441</v>
      </c>
      <c r="H67">
        <v>6.0477581046859728E-19</v>
      </c>
      <c r="I67">
        <v>6.140451169694177E-2</v>
      </c>
      <c r="J67">
        <v>0</v>
      </c>
      <c r="K67">
        <v>0</v>
      </c>
      <c r="L67">
        <v>1.215435960988458E-2</v>
      </c>
      <c r="M67">
        <v>2.3848105654307322E-2</v>
      </c>
      <c r="N67">
        <v>2.0963902848767969E-2</v>
      </c>
      <c r="O67">
        <v>0</v>
      </c>
      <c r="P67">
        <v>1.417243381705756E-2</v>
      </c>
      <c r="Q67">
        <v>4.2566887116934617E-18</v>
      </c>
      <c r="R67">
        <v>0</v>
      </c>
      <c r="S67">
        <v>6.2477150189477193E-18</v>
      </c>
      <c r="T67">
        <v>1.093141649046744E-2</v>
      </c>
      <c r="U67">
        <v>6.8978392384583087E-2</v>
      </c>
      <c r="V67">
        <v>9.4339337595376049E-3</v>
      </c>
      <c r="W67">
        <v>0.1815942442191078</v>
      </c>
      <c r="X67">
        <v>1.472065849410918E-2</v>
      </c>
      <c r="Y67">
        <v>1.3823029375456229E-2</v>
      </c>
    </row>
  </sheetData>
  <conditionalFormatting sqref="B2:X67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4E81-8401-48EB-9BEE-D1F31E0CB640}">
  <dimension ref="A1"/>
  <sheetViews>
    <sheetView tabSelected="1" workbookViewId="0">
      <selection activeCell="P10" sqref="P1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5"/>
  <sheetViews>
    <sheetView topLeftCell="B3" workbookViewId="0">
      <selection activeCell="J22" sqref="J22"/>
    </sheetView>
  </sheetViews>
  <sheetFormatPr defaultRowHeight="14.5" x14ac:dyDescent="0.35"/>
  <cols>
    <col min="1" max="1" width="12.7265625" bestFit="1" customWidth="1"/>
    <col min="2" max="2" width="6.08984375" bestFit="1" customWidth="1"/>
    <col min="3" max="3" width="11.81640625" bestFit="1" customWidth="1"/>
    <col min="4" max="4" width="28.6328125" bestFit="1" customWidth="1"/>
    <col min="5" max="5" width="31.1796875" bestFit="1" customWidth="1"/>
    <col min="6" max="6" width="23.36328125" bestFit="1" customWidth="1"/>
  </cols>
  <sheetData>
    <row r="1" spans="1:6" x14ac:dyDescent="0.35">
      <c r="A1" t="s">
        <v>119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35">
      <c r="A2" t="s">
        <v>124</v>
      </c>
      <c r="B2" t="s">
        <v>95</v>
      </c>
      <c r="C2">
        <v>0.3103795106371055</v>
      </c>
      <c r="D2">
        <v>29.00662185907381</v>
      </c>
      <c r="E2">
        <v>9.0030610978548946</v>
      </c>
      <c r="F2">
        <v>49.719399114872182</v>
      </c>
    </row>
    <row r="3" spans="1:6" x14ac:dyDescent="0.35">
      <c r="A3" t="s">
        <v>125</v>
      </c>
      <c r="B3" t="s">
        <v>96</v>
      </c>
      <c r="C3">
        <v>0.1056806845698304</v>
      </c>
      <c r="D3">
        <v>29.780260601959419</v>
      </c>
      <c r="E3">
        <v>3.1471983270830228</v>
      </c>
      <c r="F3">
        <v>17.380400734499251</v>
      </c>
    </row>
    <row r="4" spans="1:6" x14ac:dyDescent="0.35">
      <c r="A4" t="s">
        <v>126</v>
      </c>
      <c r="B4" t="s">
        <v>116</v>
      </c>
      <c r="C4">
        <v>0.1815942442191078</v>
      </c>
      <c r="D4">
        <v>8.0322924231723043</v>
      </c>
      <c r="E4">
        <v>1.458618071932841</v>
      </c>
      <c r="F4">
        <v>8.0552173628893353</v>
      </c>
    </row>
    <row r="5" spans="1:6" x14ac:dyDescent="0.35">
      <c r="A5" t="s">
        <v>127</v>
      </c>
      <c r="B5" t="s">
        <v>98</v>
      </c>
      <c r="C5">
        <v>3.7483954993119052E-2</v>
      </c>
      <c r="D5">
        <v>38.382685371650552</v>
      </c>
      <c r="E5">
        <v>1.4387348509859981</v>
      </c>
      <c r="F5">
        <v>7.9454122880153202</v>
      </c>
    </row>
    <row r="6" spans="1:6" x14ac:dyDescent="0.35">
      <c r="A6" t="s">
        <v>128</v>
      </c>
      <c r="B6" t="s">
        <v>100</v>
      </c>
      <c r="C6">
        <v>0.11443086144972441</v>
      </c>
      <c r="D6">
        <v>11.991291272056721</v>
      </c>
      <c r="E6">
        <v>1.3721737901560109</v>
      </c>
      <c r="F6">
        <v>7.5778288724474869</v>
      </c>
    </row>
    <row r="7" spans="1:6" x14ac:dyDescent="0.35">
      <c r="A7" t="s">
        <v>129</v>
      </c>
      <c r="B7" t="s">
        <v>102</v>
      </c>
      <c r="C7">
        <v>6.140451169694177E-2</v>
      </c>
      <c r="D7">
        <v>16.920261506666009</v>
      </c>
      <c r="E7">
        <v>1.0389803956013861</v>
      </c>
      <c r="F7">
        <v>5.7377685655983406</v>
      </c>
    </row>
    <row r="8" spans="1:6" x14ac:dyDescent="0.35">
      <c r="A8" t="s">
        <v>130</v>
      </c>
      <c r="B8" t="s">
        <v>105</v>
      </c>
      <c r="C8">
        <v>1.215435960988458E-2</v>
      </c>
      <c r="D8">
        <v>21.338664082750491</v>
      </c>
      <c r="E8">
        <v>0.25935779685627719</v>
      </c>
      <c r="F8">
        <v>1.4323032661106381</v>
      </c>
    </row>
    <row r="9" spans="1:6" x14ac:dyDescent="0.35">
      <c r="A9" t="s">
        <v>131</v>
      </c>
      <c r="B9" t="s">
        <v>107</v>
      </c>
      <c r="C9">
        <v>2.0963902848767969E-2</v>
      </c>
      <c r="D9">
        <v>9.3368420855222283</v>
      </c>
      <c r="E9">
        <v>0.19573665039517599</v>
      </c>
      <c r="F9">
        <v>1.0809555257516501</v>
      </c>
    </row>
    <row r="10" spans="1:6" x14ac:dyDescent="0.35">
      <c r="A10" t="s">
        <v>132</v>
      </c>
      <c r="B10" t="s">
        <v>109</v>
      </c>
      <c r="C10">
        <v>1.417243381705756E-2</v>
      </c>
      <c r="D10">
        <v>9.5906721896671794</v>
      </c>
      <c r="E10">
        <v>0.1359231668691526</v>
      </c>
      <c r="F10">
        <v>0.75063560149946773</v>
      </c>
    </row>
    <row r="11" spans="1:6" x14ac:dyDescent="0.35">
      <c r="A11" t="s">
        <v>133</v>
      </c>
      <c r="B11" t="s">
        <v>117</v>
      </c>
      <c r="C11">
        <v>1.472065849410918E-2</v>
      </c>
      <c r="D11">
        <v>7.0354999790903596</v>
      </c>
      <c r="E11">
        <v>0.10356719252750141</v>
      </c>
      <c r="F11">
        <v>0.57194975403516313</v>
      </c>
    </row>
    <row r="12" spans="1:6" x14ac:dyDescent="0.35">
      <c r="A12" t="s">
        <v>134</v>
      </c>
      <c r="B12" t="s">
        <v>118</v>
      </c>
      <c r="C12">
        <v>1.3823029375456229E-2</v>
      </c>
      <c r="D12">
        <v>4.9420379935390963</v>
      </c>
      <c r="E12">
        <v>6.8313936359311683E-2</v>
      </c>
      <c r="F12">
        <v>0.3772636695496675</v>
      </c>
    </row>
    <row r="13" spans="1:6" x14ac:dyDescent="0.35">
      <c r="A13" t="s">
        <v>135</v>
      </c>
      <c r="B13" t="s">
        <v>106</v>
      </c>
      <c r="C13">
        <v>2.3848105654307322E-2</v>
      </c>
      <c r="D13">
        <v>2.4514303860123339</v>
      </c>
      <c r="E13">
        <v>5.8461970849801537E-2</v>
      </c>
      <c r="F13">
        <v>0.32285619636812929</v>
      </c>
    </row>
    <row r="14" spans="1:6" x14ac:dyDescent="0.35">
      <c r="A14" t="s">
        <v>136</v>
      </c>
      <c r="B14" t="s">
        <v>115</v>
      </c>
      <c r="C14">
        <v>9.4339337595376049E-3</v>
      </c>
      <c r="D14">
        <v>1.789056203355412</v>
      </c>
      <c r="E14">
        <v>1.6877837714544802E-2</v>
      </c>
      <c r="F14">
        <v>9.3207847909133432E-2</v>
      </c>
    </row>
    <row r="15" spans="1:6" x14ac:dyDescent="0.35">
      <c r="A15" t="s">
        <v>137</v>
      </c>
      <c r="B15" t="s">
        <v>97</v>
      </c>
      <c r="C15">
        <v>4.5341667952651718E-17</v>
      </c>
      <c r="D15">
        <v>29.452773503632049</v>
      </c>
      <c r="E15">
        <v>1.335437876486343E-15</v>
      </c>
      <c r="F15">
        <v>7.3749548128649191E-15</v>
      </c>
    </row>
    <row r="16" spans="1:6" x14ac:dyDescent="0.35">
      <c r="A16" t="s">
        <v>138</v>
      </c>
      <c r="B16" t="s">
        <v>110</v>
      </c>
      <c r="C16">
        <v>4.2566887116934617E-18</v>
      </c>
      <c r="D16">
        <v>30.808946643501351</v>
      </c>
      <c r="E16">
        <v>1.311440953965584E-16</v>
      </c>
      <c r="F16">
        <v>7.2424318236982043E-16</v>
      </c>
    </row>
    <row r="17" spans="1:6" x14ac:dyDescent="0.35">
      <c r="A17" t="s">
        <v>139</v>
      </c>
      <c r="B17" t="s">
        <v>99</v>
      </c>
      <c r="C17">
        <v>3.1995915935200899E-18</v>
      </c>
      <c r="D17">
        <v>24.491966140334231</v>
      </c>
      <c r="E17">
        <v>7.8364288971392085E-17</v>
      </c>
      <c r="F17">
        <v>4.3276673537738729E-16</v>
      </c>
    </row>
    <row r="18" spans="1:6" x14ac:dyDescent="0.35">
      <c r="A18" t="s">
        <v>140</v>
      </c>
      <c r="B18" t="s">
        <v>112</v>
      </c>
      <c r="C18">
        <v>6.2477150189477193E-18</v>
      </c>
      <c r="D18">
        <v>11.46973570637511</v>
      </c>
      <c r="E18">
        <v>7.1659640036080679E-17</v>
      </c>
      <c r="F18">
        <v>3.9574031594996882E-16</v>
      </c>
    </row>
    <row r="19" spans="1:6" x14ac:dyDescent="0.35">
      <c r="A19" t="s">
        <v>141</v>
      </c>
      <c r="B19" t="s">
        <v>101</v>
      </c>
      <c r="C19">
        <v>6.0477581046859728E-19</v>
      </c>
      <c r="D19">
        <v>18.009698909799429</v>
      </c>
      <c r="E19">
        <v>1.089183025446936E-17</v>
      </c>
      <c r="F19">
        <v>6.0150125565895623E-17</v>
      </c>
    </row>
    <row r="20" spans="1:6" x14ac:dyDescent="0.35">
      <c r="A20" t="s">
        <v>142</v>
      </c>
      <c r="B20" t="s">
        <v>104</v>
      </c>
      <c r="C20">
        <v>0</v>
      </c>
      <c r="D20">
        <v>6.063753052738968</v>
      </c>
      <c r="E20">
        <v>0</v>
      </c>
      <c r="F20">
        <v>0</v>
      </c>
    </row>
    <row r="21" spans="1:6" x14ac:dyDescent="0.35">
      <c r="A21" t="s">
        <v>143</v>
      </c>
      <c r="B21" t="s">
        <v>103</v>
      </c>
      <c r="C21">
        <v>0</v>
      </c>
      <c r="D21">
        <v>14.963912876121089</v>
      </c>
      <c r="E21">
        <v>0</v>
      </c>
      <c r="F21">
        <v>0</v>
      </c>
    </row>
    <row r="22" spans="1:6" x14ac:dyDescent="0.35">
      <c r="A22" t="s">
        <v>144</v>
      </c>
      <c r="B22" t="s">
        <v>108</v>
      </c>
      <c r="C22">
        <v>0</v>
      </c>
      <c r="D22">
        <v>4.2797640416242739</v>
      </c>
      <c r="E22">
        <v>0</v>
      </c>
      <c r="F22">
        <v>0</v>
      </c>
    </row>
    <row r="23" spans="1:6" x14ac:dyDescent="0.35">
      <c r="A23" t="s">
        <v>145</v>
      </c>
      <c r="B23" t="s">
        <v>111</v>
      </c>
      <c r="C23">
        <v>0</v>
      </c>
      <c r="D23">
        <v>15.442186358611011</v>
      </c>
      <c r="E23">
        <v>0</v>
      </c>
      <c r="F23">
        <v>0</v>
      </c>
    </row>
    <row r="24" spans="1:6" x14ac:dyDescent="0.35">
      <c r="A24" t="s">
        <v>146</v>
      </c>
      <c r="B24" t="s">
        <v>113</v>
      </c>
      <c r="C24">
        <v>1.093141649046744E-2</v>
      </c>
      <c r="D24">
        <v>-1.635408800752844</v>
      </c>
      <c r="E24">
        <v>-1.787733473320521E-2</v>
      </c>
      <c r="F24">
        <v>-9.8727569551002842E-2</v>
      </c>
    </row>
    <row r="25" spans="1:6" x14ac:dyDescent="0.35">
      <c r="A25" t="s">
        <v>147</v>
      </c>
      <c r="B25" t="s">
        <v>114</v>
      </c>
      <c r="C25">
        <v>6.8978392384583087E-2</v>
      </c>
      <c r="D25">
        <v>-2.4846125516921722</v>
      </c>
      <c r="E25">
        <v>-0.1713845795142829</v>
      </c>
      <c r="F25">
        <v>-0.94647122999481359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topLeftCell="A3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55"/>
  <sheetViews>
    <sheetView workbookViewId="0">
      <selection activeCell="A24" sqref="A24"/>
    </sheetView>
  </sheetViews>
  <sheetFormatPr defaultRowHeight="14.5" x14ac:dyDescent="0.35"/>
  <cols>
    <col min="1" max="1" width="17.81640625" bestFit="1" customWidth="1"/>
    <col min="2" max="2" width="11.81640625" bestFit="1" customWidth="1"/>
    <col min="3" max="3" width="23.6328125" bestFit="1" customWidth="1"/>
    <col min="4" max="4" width="26" bestFit="1" customWidth="1"/>
  </cols>
  <sheetData>
    <row r="1" spans="1:4" x14ac:dyDescent="0.35">
      <c r="A1" t="s">
        <v>28</v>
      </c>
      <c r="B1" t="s">
        <v>148</v>
      </c>
      <c r="C1" t="s">
        <v>149</v>
      </c>
      <c r="D1" t="s">
        <v>150</v>
      </c>
    </row>
    <row r="2" spans="1:4" x14ac:dyDescent="0.35">
      <c r="A2" s="4">
        <v>44531</v>
      </c>
      <c r="B2">
        <v>0.57563659576129078</v>
      </c>
      <c r="C2">
        <v>8.1768392451212271E-2</v>
      </c>
      <c r="D2">
        <v>0.9856455653768581</v>
      </c>
    </row>
    <row r="3" spans="1:4" x14ac:dyDescent="0.35">
      <c r="A3" s="4">
        <v>44562</v>
      </c>
      <c r="B3">
        <v>0.51797821119501786</v>
      </c>
      <c r="C3">
        <v>0.76466628370864953</v>
      </c>
      <c r="D3">
        <v>9.571914769147206</v>
      </c>
    </row>
    <row r="4" spans="1:4" x14ac:dyDescent="0.35">
      <c r="A4" s="4">
        <v>44593</v>
      </c>
      <c r="B4">
        <v>0.4961256113036393</v>
      </c>
      <c r="C4">
        <v>1.2001219343690119</v>
      </c>
      <c r="D4">
        <v>15.39113080179966</v>
      </c>
    </row>
    <row r="5" spans="1:4" x14ac:dyDescent="0.35">
      <c r="A5" s="4">
        <v>44621</v>
      </c>
      <c r="B5">
        <v>0.51218434973215998</v>
      </c>
      <c r="C5">
        <v>0.862662250110384</v>
      </c>
      <c r="D5">
        <v>10.85751141379456</v>
      </c>
    </row>
    <row r="6" spans="1:4" x14ac:dyDescent="0.35">
      <c r="A6" s="4">
        <v>44652</v>
      </c>
      <c r="B6">
        <v>0.54820657967407838</v>
      </c>
      <c r="C6">
        <v>0.40812098418719089</v>
      </c>
      <c r="D6">
        <v>5.0088925505768378</v>
      </c>
    </row>
    <row r="7" spans="1:4" x14ac:dyDescent="0.35">
      <c r="A7" s="4">
        <v>44682</v>
      </c>
      <c r="B7">
        <v>0.54786605054651516</v>
      </c>
      <c r="C7">
        <v>0.45102531394009521</v>
      </c>
      <c r="D7">
        <v>5.5486026144876188</v>
      </c>
    </row>
    <row r="8" spans="1:4" x14ac:dyDescent="0.35">
      <c r="A8" s="4">
        <v>44713</v>
      </c>
      <c r="B8">
        <v>0.58739533795088417</v>
      </c>
      <c r="C8">
        <v>0.22921927049639951</v>
      </c>
      <c r="D8">
        <v>2.7855749477035059</v>
      </c>
    </row>
    <row r="9" spans="1:4" x14ac:dyDescent="0.35">
      <c r="A9" s="4">
        <v>44743</v>
      </c>
      <c r="B9">
        <v>0.58534020972131373</v>
      </c>
      <c r="C9">
        <v>0.22688234951263761</v>
      </c>
      <c r="D9">
        <v>2.7568203428033571</v>
      </c>
    </row>
    <row r="10" spans="1:4" x14ac:dyDescent="0.35">
      <c r="A10" s="4">
        <v>44774</v>
      </c>
      <c r="B10">
        <v>0.59658578069884283</v>
      </c>
      <c r="C10">
        <v>0.15901592294140091</v>
      </c>
      <c r="D10">
        <v>1.9249686541823241</v>
      </c>
    </row>
    <row r="11" spans="1:4" x14ac:dyDescent="0.35">
      <c r="A11" s="4">
        <v>44805</v>
      </c>
      <c r="B11">
        <v>0.63015197201319717</v>
      </c>
      <c r="C11">
        <v>-8.8653916463619573E-3</v>
      </c>
      <c r="D11">
        <v>-0.1063328422708176</v>
      </c>
    </row>
    <row r="12" spans="1:4" x14ac:dyDescent="0.35">
      <c r="A12" s="4">
        <v>44835</v>
      </c>
      <c r="B12">
        <v>0.75790997308057095</v>
      </c>
      <c r="C12">
        <v>1.728007745791428</v>
      </c>
      <c r="D12">
        <v>22.824914823727301</v>
      </c>
    </row>
    <row r="13" spans="1:4" x14ac:dyDescent="0.35">
      <c r="A13" s="4">
        <v>44866</v>
      </c>
      <c r="B13">
        <v>0.74312814309025588</v>
      </c>
      <c r="C13">
        <v>1.640877556725244</v>
      </c>
      <c r="D13">
        <v>21.568448069324941</v>
      </c>
    </row>
    <row r="14" spans="1:4" x14ac:dyDescent="0.35">
      <c r="A14" s="4">
        <v>44896</v>
      </c>
      <c r="B14">
        <v>0.74851460067989284</v>
      </c>
      <c r="C14">
        <v>1.624224964164924</v>
      </c>
      <c r="D14">
        <v>21.329653601810339</v>
      </c>
    </row>
    <row r="15" spans="1:4" x14ac:dyDescent="0.35">
      <c r="A15" s="4">
        <v>44927</v>
      </c>
      <c r="B15">
        <v>0.74447452845914919</v>
      </c>
      <c r="C15">
        <v>1.182205993313135</v>
      </c>
      <c r="D15">
        <v>15.14623043281134</v>
      </c>
    </row>
    <row r="16" spans="1:4" x14ac:dyDescent="0.35">
      <c r="A16" s="4">
        <v>44958</v>
      </c>
      <c r="B16">
        <v>0.75651114883946724</v>
      </c>
      <c r="C16">
        <v>1.0552294794628201</v>
      </c>
      <c r="D16">
        <v>13.42414427584213</v>
      </c>
    </row>
    <row r="17" spans="1:4" x14ac:dyDescent="0.35">
      <c r="A17" s="4">
        <v>44986</v>
      </c>
      <c r="B17">
        <v>0.73098631788608581</v>
      </c>
      <c r="C17">
        <v>0.85483762430419064</v>
      </c>
      <c r="D17">
        <v>10.75435547684258</v>
      </c>
    </row>
    <row r="18" spans="1:4" x14ac:dyDescent="0.35">
      <c r="A18" s="4">
        <v>45017</v>
      </c>
      <c r="B18">
        <v>0.75738018895672887</v>
      </c>
      <c r="C18">
        <v>0.45986128384785391</v>
      </c>
      <c r="D18">
        <v>5.6600689461956399</v>
      </c>
    </row>
    <row r="19" spans="1:4" x14ac:dyDescent="0.35">
      <c r="A19" s="4">
        <v>45047</v>
      </c>
      <c r="B19">
        <v>0.68481371806930402</v>
      </c>
      <c r="C19">
        <v>9.8665602960543511E-2</v>
      </c>
      <c r="D19">
        <v>1.1904334483057391</v>
      </c>
    </row>
    <row r="20" spans="1:4" x14ac:dyDescent="0.35">
      <c r="A20" s="4">
        <v>45078</v>
      </c>
      <c r="B20">
        <v>0.66973540224572858</v>
      </c>
      <c r="C20">
        <v>0.45168059162871838</v>
      </c>
      <c r="D20">
        <v>5.55686528286925</v>
      </c>
    </row>
    <row r="21" spans="1:4" x14ac:dyDescent="0.35">
      <c r="A21" s="4">
        <v>45108</v>
      </c>
      <c r="B21">
        <v>0.68107111682063681</v>
      </c>
      <c r="C21">
        <v>0.39713464956901012</v>
      </c>
      <c r="D21">
        <v>4.871098658073203</v>
      </c>
    </row>
    <row r="22" spans="1:4" x14ac:dyDescent="0.35">
      <c r="A22" s="4">
        <v>45139</v>
      </c>
      <c r="B22">
        <v>0.67565472791214831</v>
      </c>
      <c r="C22">
        <v>0.40533738433662919</v>
      </c>
      <c r="D22">
        <v>4.973964120111507</v>
      </c>
    </row>
    <row r="23" spans="1:4" x14ac:dyDescent="0.35">
      <c r="A23" s="4">
        <v>45170</v>
      </c>
      <c r="B23">
        <v>0.62977075834950902</v>
      </c>
      <c r="C23">
        <v>0.79138229415939776</v>
      </c>
      <c r="D23">
        <v>9.921036779701776</v>
      </c>
    </row>
    <row r="24" spans="1:4" x14ac:dyDescent="0.35">
      <c r="A24" s="4">
        <v>45200</v>
      </c>
      <c r="B24">
        <v>0.61408319329775773</v>
      </c>
      <c r="C24">
        <v>3.872548024956915E-2</v>
      </c>
      <c r="D24">
        <v>0.46569681922390421</v>
      </c>
    </row>
    <row r="25" spans="1:4" x14ac:dyDescent="0.35">
      <c r="A25" s="4">
        <v>45231</v>
      </c>
      <c r="B25">
        <v>0.59699206738975286</v>
      </c>
      <c r="C25">
        <v>-3.54748640181278E-2</v>
      </c>
      <c r="D25">
        <v>-0.42486876205511948</v>
      </c>
    </row>
    <row r="26" spans="1:4" x14ac:dyDescent="0.35">
      <c r="A26" s="4">
        <v>45261</v>
      </c>
      <c r="B26">
        <v>0.57888994797778304</v>
      </c>
      <c r="C26">
        <v>0.20593141002986581</v>
      </c>
      <c r="D26">
        <v>2.4993590535461911</v>
      </c>
    </row>
    <row r="27" spans="1:4" x14ac:dyDescent="0.35">
      <c r="A27" s="4">
        <v>45292</v>
      </c>
      <c r="B27">
        <v>0.54267322792670969</v>
      </c>
      <c r="C27">
        <v>0.11648899967208121</v>
      </c>
      <c r="D27">
        <v>1.4068588566558571</v>
      </c>
    </row>
    <row r="28" spans="1:4" x14ac:dyDescent="0.35">
      <c r="A28" s="4">
        <v>45323</v>
      </c>
      <c r="B28">
        <v>0.54799218731788768</v>
      </c>
      <c r="C28">
        <v>-0.27886756553579323</v>
      </c>
      <c r="D28">
        <v>-3.2955586155063998</v>
      </c>
    </row>
    <row r="29" spans="1:4" x14ac:dyDescent="0.35">
      <c r="A29" s="4">
        <v>45352</v>
      </c>
      <c r="B29">
        <v>0.55000097927973246</v>
      </c>
      <c r="C29">
        <v>-4.5611309044905901E-2</v>
      </c>
      <c r="D29">
        <v>-0.54596473556592917</v>
      </c>
    </row>
    <row r="30" spans="1:4" x14ac:dyDescent="0.35">
      <c r="A30" s="4">
        <v>45383</v>
      </c>
      <c r="B30">
        <v>0.52840803022244776</v>
      </c>
      <c r="C30">
        <v>0.27511359370344451</v>
      </c>
      <c r="D30">
        <v>3.3517778141080918</v>
      </c>
    </row>
    <row r="31" spans="1:4" x14ac:dyDescent="0.35">
      <c r="A31" s="4">
        <v>45413</v>
      </c>
      <c r="B31">
        <v>0.61348002471072216</v>
      </c>
      <c r="C31">
        <v>0.16064696616317631</v>
      </c>
      <c r="D31">
        <v>1.9448880495359639</v>
      </c>
    </row>
    <row r="32" spans="1:4" x14ac:dyDescent="0.35">
      <c r="A32" s="4">
        <v>45444</v>
      </c>
      <c r="B32">
        <v>0.59486830142139746</v>
      </c>
      <c r="C32">
        <v>-0.11076744955287041</v>
      </c>
      <c r="D32">
        <v>-1.321141397019687</v>
      </c>
    </row>
    <row r="33" spans="1:4" x14ac:dyDescent="0.35">
      <c r="A33" s="4">
        <v>45474</v>
      </c>
      <c r="B33">
        <v>0.49561654994488169</v>
      </c>
      <c r="C33">
        <v>1.0603234867273941</v>
      </c>
      <c r="D33">
        <v>13.492773317479781</v>
      </c>
    </row>
    <row r="34" spans="1:4" x14ac:dyDescent="0.35">
      <c r="A34" s="4">
        <v>45505</v>
      </c>
      <c r="B34">
        <v>0.48583756009811652</v>
      </c>
      <c r="C34">
        <v>1.285123286816737</v>
      </c>
      <c r="D34">
        <v>16.559568978937889</v>
      </c>
    </row>
    <row r="35" spans="1:4" x14ac:dyDescent="0.35">
      <c r="A35" s="4">
        <v>45536</v>
      </c>
      <c r="B35">
        <v>0.33371344686383703</v>
      </c>
      <c r="C35">
        <v>2.5789382358329309</v>
      </c>
      <c r="D35">
        <v>35.737046138428177</v>
      </c>
    </row>
    <row r="36" spans="1:4" x14ac:dyDescent="0.35">
      <c r="A36" s="4">
        <v>45566</v>
      </c>
      <c r="B36">
        <v>0.38711120830004447</v>
      </c>
      <c r="C36">
        <v>1.825115432525622</v>
      </c>
      <c r="D36">
        <v>24.239282060520061</v>
      </c>
    </row>
    <row r="37" spans="1:4" x14ac:dyDescent="0.35">
      <c r="A37" s="4">
        <v>45597</v>
      </c>
      <c r="B37">
        <v>0.40304010866657097</v>
      </c>
      <c r="C37">
        <v>1.503556863964278</v>
      </c>
      <c r="D37">
        <v>19.612104487148759</v>
      </c>
    </row>
    <row r="38" spans="1:4" x14ac:dyDescent="0.35">
      <c r="A38" s="4">
        <v>45627</v>
      </c>
      <c r="B38">
        <v>0.43906509893180018</v>
      </c>
      <c r="C38">
        <v>0.77864360479986339</v>
      </c>
      <c r="D38">
        <v>9.7544419417173742</v>
      </c>
    </row>
    <row r="39" spans="1:4" x14ac:dyDescent="0.35">
      <c r="A39" s="4">
        <v>45658</v>
      </c>
      <c r="B39">
        <v>0.51159781225533252</v>
      </c>
      <c r="C39">
        <v>0.40477915527364522</v>
      </c>
      <c r="D39">
        <v>4.9669607801741789</v>
      </c>
    </row>
    <row r="40" spans="1:4" x14ac:dyDescent="0.35">
      <c r="A40" s="4">
        <v>45689</v>
      </c>
      <c r="B40">
        <v>0.46510012235559961</v>
      </c>
      <c r="C40">
        <v>0.47491738568700859</v>
      </c>
      <c r="D40">
        <v>5.8502512584777566</v>
      </c>
    </row>
    <row r="41" spans="1:4" x14ac:dyDescent="0.35">
      <c r="A41" s="4">
        <v>45717</v>
      </c>
      <c r="B41">
        <v>0.48554644932353669</v>
      </c>
      <c r="C41">
        <v>7.3232682370492172E-2</v>
      </c>
      <c r="D41">
        <v>0.88234044017896363</v>
      </c>
    </row>
    <row r="42" spans="1:4" x14ac:dyDescent="0.35">
      <c r="A42" s="4">
        <v>45748</v>
      </c>
      <c r="B42">
        <v>0.49527686236983132</v>
      </c>
      <c r="C42">
        <v>8.1740965146898631E-2</v>
      </c>
      <c r="D42">
        <v>0.98531346574646239</v>
      </c>
    </row>
    <row r="43" spans="1:4" x14ac:dyDescent="0.35">
      <c r="A43" s="4">
        <v>45778</v>
      </c>
      <c r="B43">
        <v>0.49976952021851201</v>
      </c>
      <c r="C43">
        <v>2.0470788845062569E-2</v>
      </c>
      <c r="D43">
        <v>0.24592623006070011</v>
      </c>
    </row>
    <row r="44" spans="1:4" x14ac:dyDescent="0.35">
      <c r="A44" s="4">
        <v>45809</v>
      </c>
      <c r="B44">
        <v>0.49299472727819282</v>
      </c>
      <c r="C44">
        <v>2.5062704793842729E-2</v>
      </c>
      <c r="D44">
        <v>0.30116737591767689</v>
      </c>
    </row>
    <row r="45" spans="1:4" x14ac:dyDescent="0.35">
      <c r="A45" s="4">
        <v>45839</v>
      </c>
      <c r="B45">
        <v>0.55666237561044352</v>
      </c>
      <c r="C45">
        <v>-0.9562918766926809</v>
      </c>
      <c r="D45">
        <v>-10.89076818793461</v>
      </c>
    </row>
    <row r="46" spans="1:4" x14ac:dyDescent="0.35">
      <c r="A46" s="4">
        <v>45870</v>
      </c>
      <c r="B46">
        <v>0.51923503891881062</v>
      </c>
      <c r="C46">
        <v>-0.68944185078274267</v>
      </c>
      <c r="D46">
        <v>-7.9666834239771944</v>
      </c>
    </row>
    <row r="47" spans="1:4" x14ac:dyDescent="0.35">
      <c r="A47" s="4">
        <v>45901</v>
      </c>
      <c r="B47">
        <v>0.54224534191567908</v>
      </c>
      <c r="C47">
        <v>-0.42398026169066699</v>
      </c>
      <c r="D47">
        <v>-4.9707828563493761</v>
      </c>
    </row>
    <row r="48" spans="1:4" x14ac:dyDescent="0.35">
      <c r="A48" s="4">
        <v>45931</v>
      </c>
      <c r="B48">
        <v>0.54122532180640526</v>
      </c>
      <c r="C48">
        <v>-0.24181260207365679</v>
      </c>
      <c r="D48">
        <v>-2.8634682091213342</v>
      </c>
    </row>
    <row r="49" spans="1:4" x14ac:dyDescent="0.35">
      <c r="A49" s="4">
        <v>45962</v>
      </c>
      <c r="B49">
        <v>0.5821062357413177</v>
      </c>
      <c r="C49">
        <v>-0.52134841264642684</v>
      </c>
      <c r="D49">
        <v>-6.0798714378939804</v>
      </c>
    </row>
    <row r="50" spans="1:4" x14ac:dyDescent="0.35">
      <c r="A50" s="4">
        <v>45992</v>
      </c>
      <c r="B50">
        <v>0.56399072906553105</v>
      </c>
      <c r="C50">
        <v>0.26890197004495142</v>
      </c>
      <c r="D50">
        <v>3.2749774620706158</v>
      </c>
    </row>
    <row r="51" spans="1:4" x14ac:dyDescent="0.35">
      <c r="A51" s="4">
        <v>46023</v>
      </c>
      <c r="B51">
        <v>0.4729089537689416</v>
      </c>
      <c r="C51">
        <v>1.7741057148037009</v>
      </c>
      <c r="D51">
        <v>23.49447814836072</v>
      </c>
    </row>
    <row r="52" spans="1:4" x14ac:dyDescent="0.35">
      <c r="A52" s="4">
        <v>46054</v>
      </c>
      <c r="B52">
        <v>0.46929699372429579</v>
      </c>
      <c r="C52">
        <v>1.837269502604628</v>
      </c>
      <c r="D52">
        <v>24.417352624791949</v>
      </c>
    </row>
    <row r="53" spans="1:4" x14ac:dyDescent="0.35">
      <c r="A53" s="4">
        <v>46082</v>
      </c>
      <c r="B53">
        <v>0.44682147237614922</v>
      </c>
      <c r="C53">
        <v>1.761842610268249</v>
      </c>
      <c r="D53">
        <v>23.316033253316419</v>
      </c>
    </row>
    <row r="54" spans="1:4" x14ac:dyDescent="0.35">
      <c r="A54" s="4">
        <v>46113</v>
      </c>
      <c r="B54">
        <v>0.37780704770363061</v>
      </c>
      <c r="C54">
        <v>1.754441595180368</v>
      </c>
      <c r="D54">
        <v>23.208452791171808</v>
      </c>
    </row>
    <row r="55" spans="1:4" x14ac:dyDescent="0.35">
      <c r="A55" s="4">
        <v>46143</v>
      </c>
      <c r="B55">
        <v>0.33450591576753241</v>
      </c>
      <c r="C55">
        <v>1.7603240495079251</v>
      </c>
      <c r="D55">
        <v>23.293952577619748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 Metrics</vt:lpstr>
      <vt:lpstr>Rolling Returns and Volatility</vt:lpstr>
      <vt:lpstr>Rolling Corr. and Track. Error</vt:lpstr>
      <vt:lpstr>Rolling Historical VaR and CVaR</vt:lpstr>
      <vt:lpstr>Rolling Ratios 1</vt:lpstr>
      <vt:lpstr>Rolling Ratios 2</vt:lpstr>
      <vt:lpstr>Rolling Ratio Charts</vt:lpstr>
      <vt:lpstr>Wealth Curves</vt:lpstr>
      <vt:lpstr>Wealth Curves Chart</vt:lpstr>
      <vt:lpstr>Drawdown</vt:lpstr>
      <vt:lpstr>Rolling Drawdown</vt:lpstr>
      <vt:lpstr>Time to Recovery</vt:lpstr>
      <vt:lpstr>Worst Month</vt:lpstr>
      <vt:lpstr>5 Worst Drawdown Periods</vt:lpstr>
      <vt:lpstr>Longest Drawdown Period</vt:lpstr>
      <vt:lpstr>Histogram Data</vt:lpstr>
      <vt:lpstr>Histogram Return Chart</vt:lpstr>
      <vt:lpstr>Q-Q Plot Data</vt:lpstr>
      <vt:lpstr>Q-Q Plot Chart</vt:lpstr>
      <vt:lpstr>Rolling Portfolio Weights</vt:lpstr>
      <vt:lpstr>Final Weight Chart</vt:lpstr>
      <vt:lpstr>Final Risk Contribution</vt:lpstr>
      <vt:lpstr>Final Risk Contribution Chart</vt:lpstr>
      <vt:lpstr>Rolling Beta and Alpha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Fernandes</cp:lastModifiedBy>
  <dcterms:created xsi:type="dcterms:W3CDTF">2026-08-20T22:09:22Z</dcterms:created>
  <dcterms:modified xsi:type="dcterms:W3CDTF">2026-10-09T13:50:18Z</dcterms:modified>
</cp:coreProperties>
</file>